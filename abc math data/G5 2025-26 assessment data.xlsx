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PC EEE" sheetId="1" r:id="rId5"/>
    <sheet state="visible" name="Cat4" sheetId="2" r:id="rId6"/>
    <sheet state="visible" name="Maths (vertical)" sheetId="3" r:id="rId7"/>
    <sheet state="visible" name="Maths (horizontal)" sheetId="4" r:id="rId8"/>
    <sheet state="visible" name="English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tc={b41d177a-313f-4e61-93e1-aa181babbd2f}</author>
  </authors>
  <commentList>
    <comment authorId="0" ref="H67">
      <text>
        <t xml:space="preserve">DNF</t>
      </text>
    </comment>
    <comment authorId="0" ref="H77">
      <text>
        <t xml:space="preserve">DNF
</t>
      </text>
    </comment>
    <comment authorId="0" ref="H79">
      <text>
        <t xml:space="preserve">DNF</t>
      </text>
    </comment>
    <comment authorId="0" ref="I79">
      <text>
        <t xml:space="preserve">DNF</t>
      </text>
    </comment>
    <comment authorId="0" ref="H82">
      <text>
        <t xml:space="preserve">DNF</t>
      </text>
    </comment>
    <comment authorId="1" xr:uid="{b41d177a-313f-4e61-93e1-aa181babbd2f}" ref="A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@iantruscott@abc-net.edu.sv please add scores when ready
</t>
      </text>
    </comment>
  </commentList>
</comments>
</file>

<file path=xl/sharedStrings.xml><?xml version="1.0" encoding="utf-8"?>
<sst xmlns="http://schemas.openxmlformats.org/spreadsheetml/2006/main" count="615" uniqueCount="206">
  <si>
    <t>FURNESS</t>
  </si>
  <si>
    <t>KINNIER</t>
  </si>
  <si>
    <t>SMITH</t>
  </si>
  <si>
    <t>TRUSCOTT</t>
  </si>
  <si>
    <t>TOTALS</t>
  </si>
  <si>
    <t xml:space="preserve">Camila </t>
  </si>
  <si>
    <t>Saltwater</t>
  </si>
  <si>
    <t>Alexandra</t>
  </si>
  <si>
    <t>Temperate Forest</t>
  </si>
  <si>
    <t>Thiago B</t>
  </si>
  <si>
    <t>Grassland</t>
  </si>
  <si>
    <t xml:space="preserve">Marco </t>
  </si>
  <si>
    <t>Taiga</t>
  </si>
  <si>
    <t>Desert</t>
  </si>
  <si>
    <t xml:space="preserve">Adrián </t>
  </si>
  <si>
    <t>Freshwater</t>
  </si>
  <si>
    <t xml:space="preserve">Daniella </t>
  </si>
  <si>
    <t>Valeria B</t>
  </si>
  <si>
    <t xml:space="preserve">Lourdes </t>
  </si>
  <si>
    <t xml:space="preserve">Renata </t>
  </si>
  <si>
    <t>Tundra</t>
  </si>
  <si>
    <t xml:space="preserve">Daniela </t>
  </si>
  <si>
    <t xml:space="preserve">Herbert </t>
  </si>
  <si>
    <t>Marianna B.</t>
  </si>
  <si>
    <t xml:space="preserve">Luis </t>
  </si>
  <si>
    <t xml:space="preserve">Elena </t>
  </si>
  <si>
    <t xml:space="preserve">Sebastian </t>
  </si>
  <si>
    <t>Temperate forest</t>
  </si>
  <si>
    <t xml:space="preserve">Rael </t>
  </si>
  <si>
    <t>Benjamín</t>
  </si>
  <si>
    <t>Valentina</t>
  </si>
  <si>
    <t>Arianna</t>
  </si>
  <si>
    <t xml:space="preserve">Pamela </t>
  </si>
  <si>
    <t>André</t>
  </si>
  <si>
    <t>Felipe</t>
  </si>
  <si>
    <t>Mariana C.</t>
  </si>
  <si>
    <t xml:space="preserve">Grant </t>
  </si>
  <si>
    <t>Mauricio</t>
  </si>
  <si>
    <t xml:space="preserve">Fernanda </t>
  </si>
  <si>
    <t xml:space="preserve">Jimena </t>
  </si>
  <si>
    <t>Antonio</t>
  </si>
  <si>
    <t>Andrea G</t>
  </si>
  <si>
    <t>Ariel</t>
  </si>
  <si>
    <t xml:space="preserve">Rodrigo </t>
  </si>
  <si>
    <t>Alessandra</t>
  </si>
  <si>
    <t xml:space="preserve">David </t>
  </si>
  <si>
    <t>Andrés</t>
  </si>
  <si>
    <t>SUGGESTED ROOMS: A</t>
  </si>
  <si>
    <t xml:space="preserve">Nicole </t>
  </si>
  <si>
    <t>Aranza</t>
  </si>
  <si>
    <t>Alejandro</t>
  </si>
  <si>
    <t xml:space="preserve">Julian </t>
  </si>
  <si>
    <t>Kinnier</t>
  </si>
  <si>
    <t xml:space="preserve">Mía </t>
  </si>
  <si>
    <t xml:space="preserve">Mateo </t>
  </si>
  <si>
    <t>Valeria L</t>
  </si>
  <si>
    <t>Jacobo</t>
  </si>
  <si>
    <t>Furness</t>
  </si>
  <si>
    <t xml:space="preserve">Andrés </t>
  </si>
  <si>
    <t>Ricardo</t>
  </si>
  <si>
    <t>Isabela</t>
  </si>
  <si>
    <t xml:space="preserve">Valentina </t>
  </si>
  <si>
    <t>Truscott</t>
  </si>
  <si>
    <t xml:space="preserve">Luciana </t>
  </si>
  <si>
    <t xml:space="preserve">Aldo </t>
  </si>
  <si>
    <t>Hazel</t>
  </si>
  <si>
    <t xml:space="preserve">Sofía </t>
  </si>
  <si>
    <t>Smith</t>
  </si>
  <si>
    <t xml:space="preserve">Juan Diego </t>
  </si>
  <si>
    <t>Rafael</t>
  </si>
  <si>
    <t xml:space="preserve">Fernando </t>
  </si>
  <si>
    <t xml:space="preserve">Renato </t>
  </si>
  <si>
    <t xml:space="preserve">Stella </t>
  </si>
  <si>
    <t xml:space="preserve">Tariq </t>
  </si>
  <si>
    <t xml:space="preserve">Ana </t>
  </si>
  <si>
    <t xml:space="preserve">Emilia </t>
  </si>
  <si>
    <t>Thiago P</t>
  </si>
  <si>
    <t xml:space="preserve">Carlos </t>
  </si>
  <si>
    <t xml:space="preserve">Daniel </t>
  </si>
  <si>
    <t xml:space="preserve">Arianna </t>
  </si>
  <si>
    <t>Lucía</t>
  </si>
  <si>
    <t xml:space="preserve">Pablo </t>
  </si>
  <si>
    <t xml:space="preserve">Matías </t>
  </si>
  <si>
    <t xml:space="preserve">Diego </t>
  </si>
  <si>
    <t>Lucca</t>
  </si>
  <si>
    <t xml:space="preserve">Valentina O. </t>
  </si>
  <si>
    <t xml:space="preserve">José Daniel </t>
  </si>
  <si>
    <t xml:space="preserve">Nicolás </t>
  </si>
  <si>
    <t xml:space="preserve">Aarón </t>
  </si>
  <si>
    <t>Daniela</t>
  </si>
  <si>
    <t xml:space="preserve">Francisco </t>
  </si>
  <si>
    <t xml:space="preserve">Fiona </t>
  </si>
  <si>
    <t>Fernando</t>
  </si>
  <si>
    <t xml:space="preserve">Manuel </t>
  </si>
  <si>
    <t xml:space="preserve">Rebecca </t>
  </si>
  <si>
    <t xml:space="preserve">Thea </t>
  </si>
  <si>
    <t>Andrea V</t>
  </si>
  <si>
    <t>Valeria S.</t>
  </si>
  <si>
    <t xml:space="preserve">Yewon </t>
  </si>
  <si>
    <t>Nathalie</t>
  </si>
  <si>
    <t>Gerardo</t>
  </si>
  <si>
    <t>Valeria V.</t>
  </si>
  <si>
    <t>Valeria</t>
  </si>
  <si>
    <t>5th SMITH</t>
  </si>
  <si>
    <t>Verbal</t>
  </si>
  <si>
    <t>Quantative</t>
  </si>
  <si>
    <t>Non-Verbal</t>
  </si>
  <si>
    <t>Spatial</t>
  </si>
  <si>
    <t>Mean SAS</t>
  </si>
  <si>
    <t>Grade</t>
  </si>
  <si>
    <t>Reflections</t>
  </si>
  <si>
    <t>Target</t>
  </si>
  <si>
    <t xml:space="preserve">Felipe </t>
  </si>
  <si>
    <t>Averages</t>
  </si>
  <si>
    <t>Very high</t>
  </si>
  <si>
    <t>&gt;126</t>
  </si>
  <si>
    <t>Average</t>
  </si>
  <si>
    <t>89-96</t>
  </si>
  <si>
    <t>High</t>
  </si>
  <si>
    <t>119-126</t>
  </si>
  <si>
    <t>Below av.</t>
  </si>
  <si>
    <t>82-88</t>
  </si>
  <si>
    <t>Above av.</t>
  </si>
  <si>
    <t>112-118</t>
  </si>
  <si>
    <t>Low</t>
  </si>
  <si>
    <t>74-81</t>
  </si>
  <si>
    <t>104-111</t>
  </si>
  <si>
    <t>Very low</t>
  </si>
  <si>
    <t>&lt;74</t>
  </si>
  <si>
    <t>97-103</t>
  </si>
  <si>
    <t>Quantitative</t>
  </si>
  <si>
    <t>Mean</t>
  </si>
  <si>
    <t>Mariana B.</t>
  </si>
  <si>
    <t>August: Arithmetic</t>
  </si>
  <si>
    <t>August: Reasoning</t>
  </si>
  <si>
    <t>1: Place Value</t>
  </si>
  <si>
    <t>2: Operations</t>
  </si>
  <si>
    <t>November: PTMs</t>
  </si>
  <si>
    <t>3: Fractions A</t>
  </si>
  <si>
    <t>December: Arithmetic</t>
  </si>
  <si>
    <t>December: Reasoning</t>
  </si>
  <si>
    <t>76-100%</t>
  </si>
  <si>
    <t>&lt;80</t>
  </si>
  <si>
    <t>51-75%</t>
  </si>
  <si>
    <t>81-90</t>
  </si>
  <si>
    <t>26-50%</t>
  </si>
  <si>
    <t>91-100</t>
  </si>
  <si>
    <t>0-25%</t>
  </si>
  <si>
    <t>101-110</t>
  </si>
  <si>
    <t>Notes</t>
  </si>
  <si>
    <t>110&gt;</t>
  </si>
  <si>
    <t>August baseline</t>
  </si>
  <si>
    <t>October</t>
  </si>
  <si>
    <t>November</t>
  </si>
  <si>
    <t>December</t>
  </si>
  <si>
    <t>February</t>
  </si>
  <si>
    <t>Arithmetic
(20)</t>
  </si>
  <si>
    <t>Reasoning
(35)</t>
  </si>
  <si>
    <t>1: Place Value
(20)</t>
  </si>
  <si>
    <t>2: Operations (40)</t>
  </si>
  <si>
    <t>3: Fractions A (20)</t>
  </si>
  <si>
    <t>Reasoning
(30)</t>
  </si>
  <si>
    <t>5: Measurement (16)</t>
  </si>
  <si>
    <t>5TH FURNESS</t>
  </si>
  <si>
    <t>5: Measurement (20</t>
  </si>
  <si>
    <t>Camila Agreda</t>
  </si>
  <si>
    <t>Absent</t>
  </si>
  <si>
    <t>Adrián Arteaga</t>
  </si>
  <si>
    <t>Renata Barrios</t>
  </si>
  <si>
    <t>Luis Chavez</t>
  </si>
  <si>
    <t>Rael Choi</t>
  </si>
  <si>
    <t>Pamela Guevara</t>
  </si>
  <si>
    <t>Grant Hartless</t>
  </si>
  <si>
    <t>Jimena Hernández</t>
  </si>
  <si>
    <t>Rodrigo Jacir</t>
  </si>
  <si>
    <t>Nicole Larín</t>
  </si>
  <si>
    <t>Mía Larios</t>
  </si>
  <si>
    <t>Andrés Liu</t>
  </si>
  <si>
    <t>Luciana Mayorga</t>
  </si>
  <si>
    <t>Juan Diego Melendez</t>
  </si>
  <si>
    <t>Fernando Montes</t>
  </si>
  <si>
    <t>Sofía O'driscoll</t>
  </si>
  <si>
    <t>Valentina N. Orellana</t>
  </si>
  <si>
    <t>Daniel Pineda</t>
  </si>
  <si>
    <t>Matías Rogriguez</t>
  </si>
  <si>
    <t>José Daniel Rosa</t>
  </si>
  <si>
    <t>Francisco Salume</t>
  </si>
  <si>
    <t>Rebecca Seraphim</t>
  </si>
  <si>
    <t>Yewon Shin</t>
  </si>
  <si>
    <t>Fernando Tobar</t>
  </si>
  <si>
    <t>Valeria Wilson</t>
  </si>
  <si>
    <t>December Term 1</t>
  </si>
  <si>
    <t>5TH TRUSCOTT</t>
  </si>
  <si>
    <t>PTM 2024-25</t>
  </si>
  <si>
    <t>3: Fractions A
(20)</t>
  </si>
  <si>
    <t>Valentina H</t>
  </si>
  <si>
    <t>5TH KINNIER</t>
  </si>
  <si>
    <t>Arithmetic (20)</t>
  </si>
  <si>
    <t>5: Measurement (20)</t>
  </si>
  <si>
    <t>5TH SMITH</t>
  </si>
  <si>
    <t>Arithmetic
(25)</t>
  </si>
  <si>
    <t>2: Operations
(40)</t>
  </si>
  <si>
    <t>Name</t>
  </si>
  <si>
    <t>Writing</t>
  </si>
  <si>
    <t>1: Letter</t>
  </si>
  <si>
    <t>2: Diary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</si>
</sst>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0">
    <font>
      <sz val="10.0"/>
      <color rgb="FF000000"/>
      <name val="Arial"/>
      <scheme val="minor"/>
    </font>
    <font>
      <b/>
      <sz val="10.0"/>
      <color theme="1"/>
      <name val="Happy Monkey"/>
    </font>
    <font/>
    <font>
      <sz val="10.0"/>
      <color theme="1"/>
      <name val="Happy Monkey"/>
    </font>
    <font>
      <sz val="10.0"/>
      <color rgb="FF000000"/>
      <name val="Happy Monkey"/>
    </font>
    <font>
      <b/>
      <sz val="10.0"/>
      <color theme="1"/>
      <name val="ABeeZee"/>
    </font>
    <font>
      <b/>
      <i/>
      <sz val="10.0"/>
      <color theme="1"/>
      <name val="Happy Monkey"/>
    </font>
    <font>
      <i/>
      <sz val="10.0"/>
      <color theme="1"/>
      <name val="Happy Monkey"/>
    </font>
    <font>
      <b/>
      <color theme="1"/>
      <name val="Figtree"/>
    </font>
    <font>
      <color theme="1"/>
      <name val="Arial"/>
    </font>
    <font>
      <i/>
      <color theme="1"/>
      <name val="Figtree"/>
    </font>
    <font>
      <color theme="1"/>
      <name val="Figtree"/>
    </font>
    <font>
      <b/>
      <sz val="11.0"/>
      <color rgb="FFFFFFFF"/>
      <name val="Happy Monkey"/>
    </font>
    <font>
      <sz val="11.0"/>
      <color theme="1"/>
      <name val="Arial"/>
      <scheme val="minor"/>
    </font>
    <font>
      <b/>
      <sz val="12.0"/>
      <color theme="1"/>
      <name val="Calibri"/>
    </font>
    <font>
      <b/>
      <sz val="12.0"/>
      <color theme="1"/>
      <name val="Arial"/>
    </font>
    <font>
      <b/>
      <color theme="1"/>
      <name val="Arial"/>
    </font>
    <font>
      <b/>
      <i/>
      <color theme="1"/>
      <name val="Happy Monkey"/>
    </font>
    <font>
      <b/>
      <color theme="1"/>
      <name val="Happy Monkey"/>
    </font>
    <font>
      <color theme="1"/>
      <name val="Arial"/>
      <scheme val="minor"/>
    </font>
    <font>
      <i/>
      <color theme="1"/>
      <name val="Balsamiq Sans"/>
    </font>
    <font>
      <color theme="1"/>
      <name val="Balsamiq Sans"/>
    </font>
    <font>
      <color theme="1"/>
      <name val="Happy Monkey"/>
    </font>
    <font>
      <b/>
      <sz val="12.0"/>
      <color rgb="FFFFFFFF"/>
      <name val="Happy Monkey"/>
    </font>
    <font>
      <color theme="1"/>
      <name val="Calibri"/>
    </font>
    <font>
      <b/>
      <color theme="1"/>
      <name val="Arial"/>
      <scheme val="minor"/>
    </font>
    <font>
      <sz val="12.0"/>
      <color theme="1"/>
      <name val="Calibri"/>
    </font>
    <font>
      <b/>
      <sz val="12.0"/>
      <color rgb="FFFFFFFF"/>
      <name val="Arial"/>
      <scheme val="minor"/>
    </font>
    <font>
      <i/>
      <color theme="1"/>
      <name val="Happy Monkey"/>
    </font>
    <font>
      <sz val="12.0"/>
      <color theme="1"/>
      <name val="Balsamiq Sans"/>
    </font>
  </fonts>
  <fills count="27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5A6BD"/>
        <bgColor rgb="FFD5A6BD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9FC5E8"/>
        <bgColor rgb="FF9FC5E8"/>
      </patternFill>
    </fill>
    <fill>
      <patternFill patternType="solid">
        <fgColor rgb="FFFFFF00"/>
        <bgColor rgb="FFFFFF00"/>
      </patternFill>
    </fill>
    <fill>
      <patternFill patternType="solid">
        <fgColor rgb="FF6D9EEB"/>
        <bgColor rgb="FF6D9EEB"/>
      </patternFill>
    </fill>
    <fill>
      <patternFill patternType="solid">
        <fgColor rgb="FFF6B26B"/>
        <bgColor rgb="FFF6B26B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000000"/>
        <bgColor rgb="FF000000"/>
      </patternFill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00FF45"/>
        <bgColor rgb="FF00FF45"/>
      </patternFill>
    </fill>
    <fill>
      <patternFill patternType="solid">
        <fgColor rgb="FFF9CB9C"/>
        <bgColor rgb="FFF9CB9C"/>
      </patternFill>
    </fill>
    <fill>
      <patternFill patternType="solid">
        <fgColor rgb="FFB7E1CD"/>
        <bgColor rgb="FFB7E1CD"/>
      </patternFill>
    </fill>
  </fills>
  <borders count="7">
    <border/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0" fillId="0" fontId="1" numFmtId="0" xfId="0" applyFont="1"/>
    <xf borderId="0" fillId="0" fontId="3" numFmtId="0" xfId="0" applyAlignment="1" applyFont="1">
      <alignment readingOrder="0"/>
    </xf>
    <xf borderId="1" fillId="0" fontId="4" numFmtId="0" xfId="0" applyAlignment="1" applyBorder="1" applyFont="1">
      <alignment horizontal="left" readingOrder="0" shrinkToFit="0" wrapText="1"/>
    </xf>
    <xf borderId="2" fillId="0" fontId="3" numFmtId="0" xfId="0" applyAlignment="1" applyBorder="1" applyFont="1">
      <alignment readingOrder="0"/>
    </xf>
    <xf borderId="1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Font="1"/>
    <xf borderId="0" fillId="2" fontId="5" numFmtId="0" xfId="0" applyAlignment="1" applyFill="1" applyFont="1">
      <alignment horizontal="center"/>
    </xf>
    <xf borderId="0" fillId="3" fontId="5" numFmtId="0" xfId="0" applyAlignment="1" applyFill="1" applyFont="1">
      <alignment horizontal="center"/>
    </xf>
    <xf borderId="0" fillId="4" fontId="5" numFmtId="0" xfId="0" applyAlignment="1" applyFill="1" applyFont="1">
      <alignment horizontal="center"/>
    </xf>
    <xf borderId="0" fillId="5" fontId="5" numFmtId="0" xfId="0" applyAlignment="1" applyFill="1" applyFont="1">
      <alignment horizontal="center"/>
    </xf>
    <xf borderId="0" fillId="6" fontId="5" numFmtId="0" xfId="0" applyAlignment="1" applyFill="1" applyFont="1">
      <alignment horizontal="center"/>
    </xf>
    <xf borderId="0" fillId="7" fontId="5" numFmtId="0" xfId="0" applyAlignment="1" applyFill="1" applyFont="1">
      <alignment horizontal="center"/>
    </xf>
    <xf borderId="0" fillId="8" fontId="5" numFmtId="0" xfId="0" applyAlignment="1" applyFill="1" applyFont="1">
      <alignment horizontal="center"/>
    </xf>
    <xf borderId="0" fillId="9" fontId="6" numFmtId="0" xfId="0" applyAlignment="1" applyFill="1" applyFont="1">
      <alignment horizontal="center" readingOrder="0"/>
    </xf>
    <xf borderId="2" fillId="0" fontId="3" numFmtId="0" xfId="0" applyBorder="1" applyFont="1"/>
    <xf borderId="0" fillId="0" fontId="3" numFmtId="0" xfId="0" applyAlignment="1" applyFont="1">
      <alignment horizontal="center"/>
    </xf>
    <xf borderId="0" fillId="0" fontId="7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1" fillId="0" fontId="3" numFmtId="0" xfId="0" applyBorder="1" applyFont="1"/>
    <xf borderId="0" fillId="0" fontId="8" numFmtId="0" xfId="0" applyAlignment="1" applyFont="1">
      <alignment readingOrder="0" vertical="bottom"/>
    </xf>
    <xf borderId="0" fillId="0" fontId="9" numFmtId="0" xfId="0" applyAlignment="1" applyFont="1">
      <alignment vertical="bottom"/>
    </xf>
    <xf borderId="0" fillId="0" fontId="8" numFmtId="0" xfId="0" applyAlignment="1" applyFont="1">
      <alignment horizontal="center" vertical="bottom"/>
    </xf>
    <xf borderId="0" fillId="6" fontId="10" numFmtId="0" xfId="0" applyAlignment="1" applyFont="1">
      <alignment vertical="bottom"/>
    </xf>
    <xf borderId="0" fillId="6" fontId="11" numFmtId="0" xfId="0" applyAlignment="1" applyFont="1">
      <alignment horizontal="center" vertical="bottom"/>
    </xf>
    <xf borderId="0" fillId="10" fontId="11" numFmtId="0" xfId="0" applyAlignment="1" applyFill="1" applyFont="1">
      <alignment horizontal="center" vertical="bottom"/>
    </xf>
    <xf borderId="0" fillId="2" fontId="11" numFmtId="0" xfId="0" applyAlignment="1" applyFont="1">
      <alignment horizontal="center" vertical="bottom"/>
    </xf>
    <xf borderId="0" fillId="0" fontId="11" numFmtId="0" xfId="0" applyAlignment="1" applyFont="1">
      <alignment horizontal="center" vertical="bottom"/>
    </xf>
    <xf borderId="0" fillId="6" fontId="10" numFmtId="0" xfId="0" applyAlignment="1" applyFont="1">
      <alignment vertical="bottom"/>
    </xf>
    <xf borderId="0" fillId="11" fontId="11" numFmtId="0" xfId="0" applyAlignment="1" applyFill="1" applyFont="1">
      <alignment horizontal="center" vertical="bottom"/>
    </xf>
    <xf borderId="0" fillId="12" fontId="11" numFmtId="0" xfId="0" applyAlignment="1" applyFill="1" applyFont="1">
      <alignment horizontal="center" vertical="bottom"/>
    </xf>
    <xf borderId="0" fillId="10" fontId="10" numFmtId="0" xfId="0" applyAlignment="1" applyFont="1">
      <alignment vertical="bottom"/>
    </xf>
    <xf borderId="0" fillId="5" fontId="11" numFmtId="0" xfId="0" applyAlignment="1" applyFont="1">
      <alignment horizontal="center" vertical="bottom"/>
    </xf>
    <xf borderId="0" fillId="5" fontId="10" numFmtId="0" xfId="0" applyAlignment="1" applyFont="1">
      <alignment vertical="bottom"/>
    </xf>
    <xf borderId="0" fillId="13" fontId="11" numFmtId="0" xfId="0" applyAlignment="1" applyFill="1" applyFont="1">
      <alignment horizontal="center" vertical="bottom"/>
    </xf>
    <xf borderId="0" fillId="2" fontId="10" numFmtId="0" xfId="0" applyAlignment="1" applyFont="1">
      <alignment vertical="bottom"/>
    </xf>
    <xf borderId="0" fillId="14" fontId="11" numFmtId="0" xfId="0" applyAlignment="1" applyFill="1" applyFont="1">
      <alignment horizontal="center" vertical="bottom"/>
    </xf>
    <xf borderId="0" fillId="12" fontId="10" numFmtId="0" xfId="0" applyAlignment="1" applyFont="1">
      <alignment vertical="bottom"/>
    </xf>
    <xf borderId="0" fillId="3" fontId="10" numFmtId="0" xfId="0" applyAlignment="1" applyFont="1">
      <alignment vertical="bottom"/>
    </xf>
    <xf borderId="3" fillId="15" fontId="12" numFmtId="0" xfId="0" applyAlignment="1" applyBorder="1" applyFill="1" applyFont="1">
      <alignment vertical="bottom"/>
    </xf>
    <xf borderId="0" fillId="0" fontId="13" numFmtId="0" xfId="0" applyFont="1"/>
    <xf borderId="3" fillId="15" fontId="12" numFmtId="164" xfId="0" applyAlignment="1" applyBorder="1" applyFont="1" applyNumberFormat="1">
      <alignment horizontal="center" vertical="bottom"/>
    </xf>
    <xf borderId="0" fillId="0" fontId="11" numFmtId="0" xfId="0" applyAlignment="1" applyFont="1">
      <alignment vertical="bottom"/>
    </xf>
    <xf borderId="0" fillId="16" fontId="11" numFmtId="0" xfId="0" applyAlignment="1" applyFill="1" applyFont="1">
      <alignment vertical="bottom"/>
    </xf>
    <xf borderId="0" fillId="6" fontId="11" numFmtId="0" xfId="0" applyAlignment="1" applyFont="1">
      <alignment vertical="bottom"/>
    </xf>
    <xf borderId="0" fillId="13" fontId="11" numFmtId="0" xfId="0" applyAlignment="1" applyFont="1">
      <alignment vertical="bottom"/>
    </xf>
    <xf borderId="0" fillId="2" fontId="11" numFmtId="0" xfId="0" applyAlignment="1" applyFont="1">
      <alignment vertical="bottom"/>
    </xf>
    <xf borderId="0" fillId="5" fontId="11" numFmtId="0" xfId="0" applyAlignment="1" applyFont="1">
      <alignment vertical="bottom"/>
    </xf>
    <xf borderId="0" fillId="11" fontId="11" numFmtId="0" xfId="0" applyAlignment="1" applyFont="1">
      <alignment vertical="bottom"/>
    </xf>
    <xf borderId="0" fillId="12" fontId="11" numFmtId="0" xfId="0" applyAlignment="1" applyFont="1">
      <alignment vertical="bottom"/>
    </xf>
    <xf borderId="0" fillId="14" fontId="11" numFmtId="0" xfId="0" applyAlignment="1" applyFont="1">
      <alignment vertical="bottom"/>
    </xf>
    <xf borderId="0" fillId="10" fontId="11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17" fontId="15" numFmtId="0" xfId="0" applyAlignment="1" applyFill="1" applyFont="1">
      <alignment horizontal="center" shrinkToFit="0" vertical="top" wrapText="1"/>
    </xf>
    <xf borderId="0" fillId="18" fontId="15" numFmtId="164" xfId="0" applyAlignment="1" applyFill="1" applyFont="1" applyNumberFormat="1">
      <alignment horizontal="center" shrinkToFit="0" vertical="top" wrapText="1"/>
    </xf>
    <xf borderId="3" fillId="19" fontId="14" numFmtId="0" xfId="0" applyAlignment="1" applyBorder="1" applyFill="1" applyFont="1">
      <alignment vertical="bottom"/>
    </xf>
    <xf borderId="3" fillId="16" fontId="9" numFmtId="0" xfId="0" applyAlignment="1" applyBorder="1" applyFont="1">
      <alignment horizontal="center" vertical="bottom"/>
    </xf>
    <xf borderId="3" fillId="20" fontId="9" numFmtId="0" xfId="0" applyAlignment="1" applyBorder="1" applyFill="1" applyFont="1">
      <alignment horizontal="center" vertical="bottom"/>
    </xf>
    <xf borderId="3" fillId="20" fontId="15" numFmtId="164" xfId="0" applyAlignment="1" applyBorder="1" applyFont="1" applyNumberFormat="1">
      <alignment horizontal="center" vertical="bottom"/>
    </xf>
    <xf borderId="3" fillId="21" fontId="16" numFmtId="0" xfId="0" applyAlignment="1" applyBorder="1" applyFill="1" applyFont="1">
      <alignment vertical="bottom"/>
    </xf>
    <xf borderId="3" fillId="21" fontId="9" numFmtId="0" xfId="0" applyAlignment="1" applyBorder="1" applyFont="1">
      <alignment horizontal="center" vertical="bottom"/>
    </xf>
    <xf borderId="3" fillId="21" fontId="15" numFmtId="164" xfId="0" applyAlignment="1" applyBorder="1" applyFont="1" applyNumberFormat="1">
      <alignment horizontal="center" vertical="bottom"/>
    </xf>
    <xf borderId="3" fillId="16" fontId="16" numFmtId="0" xfId="0" applyAlignment="1" applyBorder="1" applyFont="1">
      <alignment vertical="bottom"/>
    </xf>
    <xf borderId="3" fillId="16" fontId="15" numFmtId="164" xfId="0" applyAlignment="1" applyBorder="1" applyFont="1" applyNumberFormat="1">
      <alignment horizontal="center" vertical="bottom"/>
    </xf>
    <xf borderId="3" fillId="19" fontId="9" numFmtId="0" xfId="0" applyAlignment="1" applyBorder="1" applyFont="1">
      <alignment horizontal="center" vertical="bottom"/>
    </xf>
    <xf borderId="3" fillId="21" fontId="14" numFmtId="0" xfId="0" applyAlignment="1" applyBorder="1" applyFont="1">
      <alignment vertical="bottom"/>
    </xf>
    <xf borderId="3" fillId="9" fontId="9" numFmtId="0" xfId="0" applyAlignment="1" applyBorder="1" applyFont="1">
      <alignment horizontal="center" vertical="bottom"/>
    </xf>
    <xf borderId="3" fillId="16" fontId="14" numFmtId="0" xfId="0" applyAlignment="1" applyBorder="1" applyFont="1">
      <alignment vertical="bottom"/>
    </xf>
    <xf borderId="3" fillId="9" fontId="15" numFmtId="164" xfId="0" applyAlignment="1" applyBorder="1" applyFont="1" applyNumberFormat="1">
      <alignment horizontal="center" vertical="bottom"/>
    </xf>
    <xf borderId="3" fillId="20" fontId="14" numFmtId="0" xfId="0" applyAlignment="1" applyBorder="1" applyFont="1">
      <alignment vertical="bottom"/>
    </xf>
    <xf borderId="3" fillId="20" fontId="16" numFmtId="0" xfId="0" applyAlignment="1" applyBorder="1" applyFont="1">
      <alignment vertical="bottom"/>
    </xf>
    <xf borderId="3" fillId="19" fontId="16" numFmtId="0" xfId="0" applyAlignment="1" applyBorder="1" applyFont="1">
      <alignment vertical="bottom"/>
    </xf>
    <xf borderId="3" fillId="19" fontId="15" numFmtId="164" xfId="0" applyAlignment="1" applyBorder="1" applyFont="1" applyNumberFormat="1">
      <alignment horizontal="center" vertical="bottom"/>
    </xf>
    <xf borderId="3" fillId="18" fontId="15" numFmtId="1" xfId="0" applyAlignment="1" applyBorder="1" applyFont="1" applyNumberFormat="1">
      <alignment horizontal="center" vertical="bottom"/>
    </xf>
    <xf borderId="3" fillId="18" fontId="15" numFmtId="164" xfId="0" applyAlignment="1" applyBorder="1" applyFont="1" applyNumberFormat="1">
      <alignment horizontal="center" vertical="bottom"/>
    </xf>
    <xf borderId="0" fillId="0" fontId="9" numFmtId="0" xfId="0" applyAlignment="1" applyFont="1">
      <alignment horizontal="center" vertical="center"/>
    </xf>
    <xf borderId="0" fillId="0" fontId="17" numFmtId="0" xfId="0" applyAlignment="1" applyFont="1">
      <alignment horizontal="center" readingOrder="0" shrinkToFit="0" vertical="center" wrapText="1"/>
    </xf>
    <xf borderId="0" fillId="0" fontId="18" numFmtId="0" xfId="0" applyAlignment="1" applyFont="1">
      <alignment horizontal="center" vertical="center"/>
    </xf>
    <xf borderId="0" fillId="0" fontId="18" numFmtId="0" xfId="0" applyAlignment="1" applyFont="1">
      <alignment horizontal="center" readingOrder="0" vertical="center"/>
    </xf>
    <xf borderId="0" fillId="0" fontId="18" numFmtId="0" xfId="0" applyAlignment="1" applyFont="1">
      <alignment horizontal="center" readingOrder="0" shrinkToFit="0" vertical="center" wrapText="1"/>
    </xf>
    <xf borderId="0" fillId="0" fontId="19" numFmtId="0" xfId="0" applyAlignment="1" applyFont="1">
      <alignment vertical="center"/>
    </xf>
    <xf borderId="0" fillId="5" fontId="20" numFmtId="0" xfId="0" applyAlignment="1" applyFont="1">
      <alignment horizontal="center" vertical="bottom"/>
    </xf>
    <xf borderId="0" fillId="0" fontId="18" numFmtId="0" xfId="0" applyAlignment="1" applyFont="1">
      <alignment horizontal="center" vertical="bottom"/>
    </xf>
    <xf borderId="0" fillId="0" fontId="19" numFmtId="0" xfId="0" applyAlignment="1" applyFont="1">
      <alignment horizontal="center"/>
    </xf>
    <xf borderId="0" fillId="22" fontId="21" numFmtId="0" xfId="0" applyAlignment="1" applyFill="1" applyFont="1">
      <alignment horizontal="center" vertical="bottom"/>
    </xf>
    <xf borderId="0" fillId="23" fontId="20" numFmtId="0" xfId="0" applyAlignment="1" applyFill="1" applyFont="1">
      <alignment horizontal="center" vertical="bottom"/>
    </xf>
    <xf borderId="0" fillId="2" fontId="21" numFmtId="0" xfId="0" applyAlignment="1" applyFont="1">
      <alignment horizontal="center" vertical="bottom"/>
    </xf>
    <xf borderId="0" fillId="2" fontId="20" numFmtId="0" xfId="0" applyAlignment="1" applyFont="1">
      <alignment horizontal="center" vertical="bottom"/>
    </xf>
    <xf borderId="0" fillId="3" fontId="21" numFmtId="0" xfId="0" applyAlignment="1" applyFont="1">
      <alignment horizontal="center" vertical="bottom"/>
    </xf>
    <xf borderId="0" fillId="22" fontId="20" numFmtId="0" xfId="0" applyAlignment="1" applyFont="1">
      <alignment horizontal="center" vertical="bottom"/>
    </xf>
    <xf borderId="0" fillId="23" fontId="21" numFmtId="0" xfId="0" applyAlignment="1" applyFont="1">
      <alignment horizontal="center" vertical="bottom"/>
    </xf>
    <xf borderId="0" fillId="0" fontId="16" numFmtId="0" xfId="0" applyAlignment="1" applyFont="1">
      <alignment horizontal="center" readingOrder="0" vertical="bottom"/>
    </xf>
    <xf borderId="0" fillId="5" fontId="21" numFmtId="0" xfId="0" applyAlignment="1" applyFont="1">
      <alignment horizontal="center" vertical="bottom"/>
    </xf>
    <xf borderId="2" fillId="0" fontId="18" numFmtId="0" xfId="0" applyAlignment="1" applyBorder="1" applyFont="1">
      <alignment horizontal="center" vertical="bottom"/>
    </xf>
    <xf borderId="0" fillId="0" fontId="18" numFmtId="0" xfId="0" applyAlignment="1" applyFont="1">
      <alignment horizontal="center" readingOrder="0" vertical="bottom"/>
    </xf>
    <xf borderId="3" fillId="0" fontId="18" numFmtId="0" xfId="0" applyAlignment="1" applyBorder="1" applyFont="1">
      <alignment readingOrder="0" vertical="bottom"/>
    </xf>
    <xf borderId="3" fillId="0" fontId="17" numFmtId="0" xfId="0" applyAlignment="1" applyBorder="1" applyFont="1">
      <alignment horizontal="center" readingOrder="0" vertical="bottom"/>
    </xf>
    <xf borderId="3" fillId="0" fontId="18" numFmtId="0" xfId="0" applyAlignment="1" applyBorder="1" applyFont="1">
      <alignment horizontal="center" readingOrder="0" vertical="bottom"/>
    </xf>
    <xf borderId="3" fillId="0" fontId="18" numFmtId="0" xfId="0" applyAlignment="1" applyBorder="1" applyFont="1">
      <alignment horizontal="center" readingOrder="0" shrinkToFit="0" vertical="bottom" wrapText="1"/>
    </xf>
    <xf borderId="3" fillId="0" fontId="18" numFmtId="0" xfId="0" applyAlignment="1" applyBorder="1" applyFont="1">
      <alignment horizontal="center" readingOrder="0" shrinkToFit="0" vertical="center" wrapText="1"/>
    </xf>
    <xf borderId="3" fillId="0" fontId="18" numFmtId="0" xfId="0" applyAlignment="1" applyBorder="1" applyFont="1">
      <alignment horizontal="center" shrinkToFit="0" vertical="bottom" wrapText="1"/>
    </xf>
    <xf borderId="3" fillId="0" fontId="22" numFmtId="0" xfId="0" applyAlignment="1" applyBorder="1" applyFont="1">
      <alignment vertical="bottom"/>
    </xf>
    <xf borderId="3" fillId="22" fontId="21" numFmtId="0" xfId="0" applyAlignment="1" applyBorder="1" applyFont="1">
      <alignment horizontal="center" vertical="bottom"/>
    </xf>
    <xf borderId="3" fillId="2" fontId="21" numFmtId="0" xfId="0" applyAlignment="1" applyBorder="1" applyFont="1">
      <alignment horizontal="center" vertical="bottom"/>
    </xf>
    <xf borderId="3" fillId="2" fontId="21" numFmtId="0" xfId="0" applyAlignment="1" applyBorder="1" applyFont="1">
      <alignment horizontal="center"/>
    </xf>
    <xf borderId="3" fillId="2" fontId="21" numFmtId="0" xfId="0" applyAlignment="1" applyBorder="1" applyFont="1">
      <alignment horizontal="center" readingOrder="0"/>
    </xf>
    <xf borderId="3" fillId="22" fontId="21" numFmtId="0" xfId="0" applyAlignment="1" applyBorder="1" applyFont="1">
      <alignment horizontal="center" readingOrder="0"/>
    </xf>
    <xf borderId="3" fillId="23" fontId="21" numFmtId="0" xfId="0" applyAlignment="1" applyBorder="1" applyFont="1">
      <alignment horizontal="center" vertical="bottom"/>
    </xf>
    <xf borderId="0" fillId="0" fontId="22" numFmtId="164" xfId="0" applyAlignment="1" applyFont="1" applyNumberFormat="1">
      <alignment horizontal="center" vertical="bottom"/>
    </xf>
    <xf borderId="3" fillId="22" fontId="21" numFmtId="0" xfId="0" applyAlignment="1" applyBorder="1" applyFont="1">
      <alignment horizontal="center"/>
    </xf>
    <xf borderId="3" fillId="23" fontId="21" numFmtId="0" xfId="0" applyAlignment="1" applyBorder="1" applyFont="1">
      <alignment horizontal="center" readingOrder="0"/>
    </xf>
    <xf borderId="3" fillId="5" fontId="21" numFmtId="0" xfId="0" applyAlignment="1" applyBorder="1" applyFont="1">
      <alignment horizontal="center" vertical="bottom"/>
    </xf>
    <xf borderId="3" fillId="2" fontId="21" numFmtId="0" xfId="0" applyAlignment="1" applyBorder="1" applyFont="1">
      <alignment horizontal="center" readingOrder="0" vertical="bottom"/>
    </xf>
    <xf borderId="3" fillId="23" fontId="21" numFmtId="0" xfId="0" applyAlignment="1" applyBorder="1" applyFont="1">
      <alignment horizontal="center"/>
    </xf>
    <xf borderId="3" fillId="5" fontId="21" numFmtId="0" xfId="0" applyAlignment="1" applyBorder="1" applyFont="1">
      <alignment horizontal="center"/>
    </xf>
    <xf borderId="3" fillId="7" fontId="21" numFmtId="0" xfId="0" applyAlignment="1" applyBorder="1" applyFont="1">
      <alignment horizontal="center" readingOrder="0"/>
    </xf>
    <xf borderId="3" fillId="15" fontId="9" numFmtId="0" xfId="0" applyAlignment="1" applyBorder="1" applyFont="1">
      <alignment vertical="bottom"/>
    </xf>
    <xf borderId="3" fillId="0" fontId="21" numFmtId="0" xfId="0" applyBorder="1" applyFont="1"/>
    <xf borderId="0" fillId="0" fontId="9" numFmtId="164" xfId="0" applyAlignment="1" applyFont="1" applyNumberFormat="1">
      <alignment vertical="bottom"/>
    </xf>
    <xf borderId="3" fillId="24" fontId="21" numFmtId="0" xfId="0" applyAlignment="1" applyBorder="1" applyFill="1" applyFont="1">
      <alignment horizontal="center"/>
    </xf>
    <xf borderId="3" fillId="16" fontId="21" numFmtId="0" xfId="0" applyAlignment="1" applyBorder="1" applyFont="1">
      <alignment horizontal="center" readingOrder="0"/>
    </xf>
    <xf borderId="3" fillId="16" fontId="21" numFmtId="0" xfId="0" applyAlignment="1" applyBorder="1" applyFont="1">
      <alignment horizontal="center" vertical="bottom"/>
    </xf>
    <xf borderId="3" fillId="3" fontId="21" numFmtId="0" xfId="0" applyAlignment="1" applyBorder="1" applyFont="1">
      <alignment horizontal="center"/>
    </xf>
    <xf borderId="3" fillId="0" fontId="9" numFmtId="0" xfId="0" applyAlignment="1" applyBorder="1" applyFont="1">
      <alignment vertical="bottom"/>
    </xf>
    <xf borderId="3" fillId="22" fontId="21" numFmtId="0" xfId="0" applyAlignment="1" applyBorder="1" applyFont="1">
      <alignment horizontal="center" readingOrder="0" vertical="bottom"/>
    </xf>
    <xf borderId="0" fillId="0" fontId="22" numFmtId="0" xfId="0" applyAlignment="1" applyFont="1">
      <alignment horizontal="center" vertical="bottom"/>
    </xf>
    <xf borderId="3" fillId="15" fontId="23" numFmtId="0" xfId="0" applyAlignment="1" applyBorder="1" applyFont="1">
      <alignment readingOrder="0" vertical="bottom"/>
    </xf>
    <xf borderId="3" fillId="15" fontId="23" numFmtId="164" xfId="0" applyAlignment="1" applyBorder="1" applyFont="1" applyNumberFormat="1">
      <alignment horizontal="center" vertical="bottom"/>
    </xf>
    <xf borderId="0" fillId="0" fontId="18" numFmtId="0" xfId="0" applyAlignment="1" applyFont="1">
      <alignment vertical="bottom"/>
    </xf>
    <xf borderId="3" fillId="0" fontId="9" numFmtId="0" xfId="0" applyAlignment="1" applyBorder="1" applyFont="1">
      <alignment readingOrder="0" vertical="bottom"/>
    </xf>
    <xf borderId="3" fillId="0" fontId="19" numFmtId="0" xfId="0" applyAlignment="1" applyBorder="1" applyFont="1">
      <alignment horizontal="center" readingOrder="0"/>
    </xf>
    <xf borderId="3" fillId="0" fontId="19" numFmtId="0" xfId="0" applyAlignment="1" applyBorder="1" applyFont="1">
      <alignment horizontal="center"/>
    </xf>
    <xf borderId="3" fillId="0" fontId="19" numFmtId="0" xfId="0" applyBorder="1" applyFont="1"/>
    <xf borderId="3" fillId="0" fontId="19" numFmtId="0" xfId="0" applyAlignment="1" applyBorder="1" applyFont="1">
      <alignment readingOrder="0"/>
    </xf>
    <xf borderId="3" fillId="0" fontId="24" numFmtId="0" xfId="0" applyAlignment="1" applyBorder="1" applyFont="1">
      <alignment horizontal="center"/>
    </xf>
    <xf borderId="0" fillId="0" fontId="19" numFmtId="0" xfId="0" applyAlignment="1" applyFont="1">
      <alignment horizontal="center" readingOrder="0"/>
    </xf>
    <xf borderId="0" fillId="0" fontId="19" numFmtId="0" xfId="0" applyAlignment="1" applyFont="1">
      <alignment readingOrder="0"/>
    </xf>
    <xf borderId="3" fillId="25" fontId="19" numFmtId="0" xfId="0" applyBorder="1" applyFill="1" applyFont="1"/>
    <xf borderId="3" fillId="3" fontId="19" numFmtId="0" xfId="0" applyAlignment="1" applyBorder="1" applyFont="1">
      <alignment readingOrder="0"/>
    </xf>
    <xf borderId="3" fillId="2" fontId="19" numFmtId="0" xfId="0" applyBorder="1" applyFont="1"/>
    <xf borderId="3" fillId="3" fontId="9" numFmtId="0" xfId="0" applyBorder="1" applyFont="1"/>
    <xf borderId="0" fillId="0" fontId="9" numFmtId="0" xfId="0" applyAlignment="1" applyFont="1">
      <alignment readingOrder="0" vertical="bottom"/>
    </xf>
    <xf borderId="0" fillId="15" fontId="23" numFmtId="0" xfId="0" applyAlignment="1" applyFont="1">
      <alignment readingOrder="0" vertical="bottom"/>
    </xf>
    <xf borderId="0" fillId="15" fontId="23" numFmtId="164" xfId="0" applyAlignment="1" applyFont="1" applyNumberFormat="1">
      <alignment horizontal="center" vertical="bottom"/>
    </xf>
    <xf borderId="4" fillId="16" fontId="18" numFmtId="0" xfId="0" applyAlignment="1" applyBorder="1" applyFont="1">
      <alignment horizontal="center" vertical="bottom"/>
    </xf>
    <xf borderId="5" fillId="0" fontId="2" numFmtId="0" xfId="0" applyBorder="1" applyFont="1"/>
    <xf borderId="3" fillId="0" fontId="25" numFmtId="0" xfId="0" applyAlignment="1" applyBorder="1" applyFont="1">
      <alignment horizontal="center"/>
    </xf>
    <xf borderId="3" fillId="21" fontId="25" numFmtId="0" xfId="0" applyAlignment="1" applyBorder="1" applyFont="1">
      <alignment horizontal="center" readingOrder="0"/>
    </xf>
    <xf borderId="3" fillId="9" fontId="25" numFmtId="0" xfId="0" applyAlignment="1" applyBorder="1" applyFont="1">
      <alignment horizontal="center" readingOrder="0"/>
    </xf>
    <xf borderId="4" fillId="16" fontId="18" numFmtId="0" xfId="0" applyAlignment="1" applyBorder="1" applyFont="1">
      <alignment horizontal="center" readingOrder="0" vertical="bottom"/>
    </xf>
    <xf borderId="3" fillId="16" fontId="17" numFmtId="0" xfId="0" applyAlignment="1" applyBorder="1" applyFont="1">
      <alignment horizontal="center" readingOrder="0" vertical="bottom"/>
    </xf>
    <xf borderId="3" fillId="9" fontId="18" numFmtId="0" xfId="0" applyAlignment="1" applyBorder="1" applyFont="1">
      <alignment horizontal="center" readingOrder="0" vertical="bottom"/>
    </xf>
    <xf borderId="3" fillId="9" fontId="18" numFmtId="0" xfId="0" applyAlignment="1" applyBorder="1" applyFont="1">
      <alignment horizontal="center" readingOrder="0" shrinkToFit="0" vertical="bottom" wrapText="1"/>
    </xf>
    <xf borderId="3" fillId="21" fontId="18" numFmtId="0" xfId="0" applyAlignment="1" applyBorder="1" applyFont="1">
      <alignment horizontal="center" readingOrder="0" vertical="bottom"/>
    </xf>
    <xf borderId="3" fillId="0" fontId="26" numFmtId="0" xfId="0" applyAlignment="1" applyBorder="1" applyFont="1">
      <alignment vertical="bottom"/>
    </xf>
    <xf borderId="3" fillId="0" fontId="9" numFmtId="0" xfId="0" applyAlignment="1" applyBorder="1" applyFont="1">
      <alignment horizontal="center" vertical="bottom"/>
    </xf>
    <xf borderId="3" fillId="3" fontId="9" numFmtId="0" xfId="0" applyAlignment="1" applyBorder="1" applyFont="1">
      <alignment horizontal="center" vertical="bottom"/>
    </xf>
    <xf borderId="3" fillId="2" fontId="9" numFmtId="0" xfId="0" applyAlignment="1" applyBorder="1" applyFont="1">
      <alignment horizontal="center" shrinkToFit="0" vertical="bottom" wrapText="1"/>
    </xf>
    <xf borderId="3" fillId="23" fontId="9" numFmtId="0" xfId="0" applyAlignment="1" applyBorder="1" applyFont="1">
      <alignment horizontal="center" vertical="bottom"/>
    </xf>
    <xf borderId="3" fillId="23" fontId="9" numFmtId="0" xfId="0" applyAlignment="1" applyBorder="1" applyFont="1">
      <alignment horizontal="center" shrinkToFit="0" vertical="bottom" wrapText="1"/>
    </xf>
    <xf borderId="3" fillId="2" fontId="9" numFmtId="0" xfId="0" applyAlignment="1" applyBorder="1" applyFont="1">
      <alignment horizontal="center" vertical="bottom"/>
    </xf>
    <xf borderId="3" fillId="22" fontId="9" numFmtId="0" xfId="0" applyAlignment="1" applyBorder="1" applyFont="1">
      <alignment horizontal="center" shrinkToFit="0" vertical="bottom" wrapText="1"/>
    </xf>
    <xf borderId="3" fillId="5" fontId="9" numFmtId="0" xfId="0" applyAlignment="1" applyBorder="1" applyFont="1">
      <alignment horizontal="center" vertical="bottom"/>
    </xf>
    <xf borderId="3" fillId="22" fontId="9" numFmtId="0" xfId="0" applyAlignment="1" applyBorder="1" applyFont="1">
      <alignment horizontal="center" vertical="bottom"/>
    </xf>
    <xf borderId="3" fillId="15" fontId="27" numFmtId="0" xfId="0" applyAlignment="1" applyBorder="1" applyFont="1">
      <alignment readingOrder="0"/>
    </xf>
    <xf borderId="3" fillId="15" fontId="27" numFmtId="164" xfId="0" applyAlignment="1" applyBorder="1" applyFont="1" applyNumberFormat="1">
      <alignment horizontal="center"/>
    </xf>
    <xf borderId="3" fillId="0" fontId="4" numFmtId="0" xfId="0" applyAlignment="1" applyBorder="1" applyFont="1">
      <alignment horizontal="left" readingOrder="0" shrinkToFit="0" wrapText="1"/>
    </xf>
    <xf borderId="3" fillId="0" fontId="22" numFmtId="0" xfId="0" applyAlignment="1" applyBorder="1" applyFont="1">
      <alignment horizontal="center" readingOrder="0"/>
    </xf>
    <xf borderId="3" fillId="0" fontId="22" numFmtId="0" xfId="0" applyAlignment="1" applyBorder="1" applyFont="1">
      <alignment horizontal="center"/>
    </xf>
    <xf borderId="3" fillId="0" fontId="28" numFmtId="0" xfId="0" applyAlignment="1" applyBorder="1" applyFont="1">
      <alignment horizontal="center" readingOrder="0" vertical="bottom"/>
    </xf>
    <xf borderId="3" fillId="26" fontId="21" numFmtId="0" xfId="0" applyAlignment="1" applyBorder="1" applyFill="1" applyFont="1">
      <alignment horizontal="center" readingOrder="0" vertical="bottom"/>
    </xf>
    <xf borderId="3" fillId="0" fontId="21" numFmtId="0" xfId="0" applyAlignment="1" applyBorder="1" applyFont="1">
      <alignment horizontal="center" vertical="bottom"/>
    </xf>
    <xf borderId="3" fillId="23" fontId="21" numFmtId="0" xfId="0" applyAlignment="1" applyBorder="1" applyFont="1">
      <alignment horizontal="center" readingOrder="0" vertical="bottom"/>
    </xf>
    <xf borderId="3" fillId="0" fontId="22" numFmtId="0" xfId="0" applyAlignment="1" applyBorder="1" applyFont="1">
      <alignment horizontal="center" readingOrder="0" vertical="bottom"/>
    </xf>
    <xf borderId="3" fillId="0" fontId="22" numFmtId="0" xfId="0" applyAlignment="1" applyBorder="1" applyFont="1">
      <alignment horizontal="center"/>
    </xf>
    <xf borderId="3" fillId="15" fontId="27" numFmtId="164" xfId="0" applyAlignment="1" applyBorder="1" applyFont="1" applyNumberFormat="1">
      <alignment horizontal="center" readingOrder="0"/>
    </xf>
    <xf borderId="1" fillId="0" fontId="18" numFmtId="0" xfId="0" applyAlignment="1" applyBorder="1" applyFont="1">
      <alignment horizontal="center" readingOrder="0" vertical="bottom"/>
    </xf>
    <xf borderId="1" fillId="0" fontId="19" numFmtId="0" xfId="0" applyBorder="1" applyFont="1"/>
    <xf borderId="3" fillId="0" fontId="22" numFmtId="0" xfId="0" applyAlignment="1" applyBorder="1" applyFont="1">
      <alignment readingOrder="0" vertical="bottom"/>
    </xf>
    <xf borderId="0" fillId="0" fontId="22" numFmtId="0" xfId="0" applyAlignment="1" applyFont="1">
      <alignment vertical="bottom"/>
    </xf>
    <xf borderId="3" fillId="0" fontId="22" numFmtId="0" xfId="0" applyAlignment="1" applyBorder="1" applyFont="1">
      <alignment horizontal="center" vertical="bottom"/>
    </xf>
    <xf borderId="1" fillId="0" fontId="19" numFmtId="0" xfId="0" applyAlignment="1" applyBorder="1" applyFont="1">
      <alignment readingOrder="0"/>
    </xf>
    <xf borderId="0" fillId="0" fontId="22" numFmtId="0" xfId="0" applyFont="1"/>
    <xf borderId="3" fillId="25" fontId="19" numFmtId="0" xfId="0" applyAlignment="1" applyBorder="1" applyFont="1">
      <alignment horizontal="center"/>
    </xf>
    <xf borderId="3" fillId="0" fontId="21" numFmtId="0" xfId="0" applyAlignment="1" applyBorder="1" applyFont="1">
      <alignment horizontal="center" readingOrder="0" vertical="bottom"/>
    </xf>
    <xf borderId="3" fillId="19" fontId="9" numFmtId="0" xfId="0" applyAlignment="1" applyBorder="1" applyFont="1">
      <alignment vertical="bottom"/>
    </xf>
    <xf borderId="3" fillId="3" fontId="19" numFmtId="0" xfId="0" applyAlignment="1" applyBorder="1" applyFont="1">
      <alignment horizontal="center" readingOrder="0"/>
    </xf>
    <xf borderId="4" fillId="0" fontId="29" numFmtId="0" xfId="0" applyAlignment="1" applyBorder="1" applyFont="1">
      <alignment horizontal="center" vertical="bottom"/>
    </xf>
    <xf borderId="6" fillId="0" fontId="2" numFmtId="0" xfId="0" applyBorder="1" applyFont="1"/>
    <xf borderId="3" fillId="0" fontId="8" numFmtId="0" xfId="0" applyAlignment="1" applyBorder="1" applyFont="1">
      <alignment horizontal="center" vertical="bottom"/>
    </xf>
    <xf borderId="3" fillId="0" fontId="11" numFmtId="0" xfId="0" applyAlignment="1" applyBorder="1" applyFont="1">
      <alignment vertical="bottom"/>
    </xf>
    <xf borderId="3" fillId="22" fontId="8" numFmtId="0" xfId="0" applyAlignment="1" applyBorder="1" applyFont="1">
      <alignment horizontal="center" vertical="bottom"/>
    </xf>
    <xf borderId="3" fillId="2" fontId="8" numFmtId="0" xfId="0" applyAlignment="1" applyBorder="1" applyFont="1">
      <alignment horizontal="center" vertical="bottom"/>
    </xf>
    <xf borderId="3" fillId="5" fontId="8" numFmtId="0" xfId="0" applyAlignment="1" applyBorder="1" applyFont="1">
      <alignment horizontal="center" vertical="bottom"/>
    </xf>
    <xf borderId="3" fillId="23" fontId="8" numFmtId="0" xfId="0" applyAlignment="1" applyBorder="1" applyFont="1">
      <alignment horizontal="center" vertical="bottom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atthew Smith" id="{900419eb-b008-45c5-bd93-c12bfc5c6b84}" providerId="google-sheets"/>
  <x18tc:person displayName="iantruscott@abc-net.edu.sv" id="{a7af9679-a920-48cc-b6bc-f019f652a835}" userId="iantruscott@abc-net.edu.sv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66" dT="2025-09-16T14:50:06.00" personId="{900419eb-b008-45c5-bd93-c12bfc5c6b84}" id="{b41d177a-313f-4e61-93e1-aa181babbd2f}" done="1">
    <x18tc:text xml:space="preserve">@iantruscott@abc-net.edu.sv please add scores when ready</x18tc:text>
    <x18tc:mentions>
      <x18tc:mention mentionpersonId="{a7af9679-a920-48cc-b6bc-f019f652a835}" mentionId="{7271e3be-9587-48f7-88a0-213684d2d196}" startIndex="0" length="27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2" max="2" width="20.75"/>
    <col customWidth="1" min="4" max="4" width="20.75"/>
    <col customWidth="1" min="6" max="6" width="20.75"/>
    <col customWidth="1" min="8" max="8" width="20.75"/>
    <col customWidth="1" min="10" max="11" width="14.38"/>
  </cols>
  <sheetData>
    <row r="1">
      <c r="A1" s="1" t="s">
        <v>0</v>
      </c>
      <c r="C1" s="2" t="s">
        <v>1</v>
      </c>
      <c r="D1" s="3"/>
      <c r="E1" s="2" t="s">
        <v>2</v>
      </c>
      <c r="F1" s="3"/>
      <c r="G1" s="1" t="s">
        <v>3</v>
      </c>
      <c r="I1" s="4"/>
      <c r="J1" s="1" t="s">
        <v>4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 t="s">
        <v>5</v>
      </c>
      <c r="B2" s="5" t="s">
        <v>6</v>
      </c>
      <c r="C2" s="6" t="s">
        <v>7</v>
      </c>
      <c r="D2" s="7" t="s">
        <v>8</v>
      </c>
      <c r="E2" s="8" t="s">
        <v>9</v>
      </c>
      <c r="F2" s="7" t="s">
        <v>10</v>
      </c>
      <c r="G2" s="9" t="s">
        <v>11</v>
      </c>
      <c r="H2" s="5" t="s">
        <v>12</v>
      </c>
      <c r="I2" s="10"/>
      <c r="J2" s="11" t="s">
        <v>13</v>
      </c>
      <c r="K2" s="10">
        <f>COUNTIF(B2:H26, "Desert")</f>
        <v>9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>
      <c r="A3" s="5" t="s">
        <v>14</v>
      </c>
      <c r="B3" s="5" t="s">
        <v>15</v>
      </c>
      <c r="C3" s="6" t="s">
        <v>16</v>
      </c>
      <c r="D3" s="7" t="s">
        <v>12</v>
      </c>
      <c r="E3" s="8" t="s">
        <v>17</v>
      </c>
      <c r="F3" s="7" t="s">
        <v>15</v>
      </c>
      <c r="G3" s="9" t="s">
        <v>18</v>
      </c>
      <c r="H3" s="5" t="s">
        <v>6</v>
      </c>
      <c r="I3" s="10"/>
      <c r="J3" s="12" t="s">
        <v>10</v>
      </c>
      <c r="K3" s="10">
        <f>COUNTIF(B2:H26, "Grassland")</f>
        <v>11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>
      <c r="A4" s="5" t="s">
        <v>19</v>
      </c>
      <c r="B4" s="5" t="s">
        <v>20</v>
      </c>
      <c r="C4" s="6" t="s">
        <v>21</v>
      </c>
      <c r="D4" s="7" t="s">
        <v>13</v>
      </c>
      <c r="E4" s="8" t="s">
        <v>22</v>
      </c>
      <c r="F4" s="7" t="s">
        <v>13</v>
      </c>
      <c r="G4" s="9" t="s">
        <v>23</v>
      </c>
      <c r="H4" s="5" t="s">
        <v>12</v>
      </c>
      <c r="I4" s="10"/>
      <c r="J4" s="13" t="s">
        <v>12</v>
      </c>
      <c r="K4" s="10">
        <f>COUNTIF(B2:H26, "Taiga")</f>
        <v>12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>
      <c r="A5" s="5" t="s">
        <v>24</v>
      </c>
      <c r="B5" s="5" t="s">
        <v>8</v>
      </c>
      <c r="C5" s="6" t="s">
        <v>25</v>
      </c>
      <c r="D5" s="7" t="s">
        <v>20</v>
      </c>
      <c r="E5" s="8" t="s">
        <v>25</v>
      </c>
      <c r="F5" s="7" t="s">
        <v>13</v>
      </c>
      <c r="G5" s="9" t="s">
        <v>26</v>
      </c>
      <c r="H5" s="5" t="s">
        <v>10</v>
      </c>
      <c r="I5" s="10"/>
      <c r="J5" s="14" t="s">
        <v>27</v>
      </c>
      <c r="K5" s="10">
        <f>COUNTIF(B2:H26, "Temperate Forest")</f>
        <v>12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>
      <c r="A6" s="5" t="s">
        <v>28</v>
      </c>
      <c r="B6" s="5" t="s">
        <v>20</v>
      </c>
      <c r="C6" s="6" t="s">
        <v>29</v>
      </c>
      <c r="D6" s="7" t="s">
        <v>6</v>
      </c>
      <c r="E6" s="8" t="s">
        <v>30</v>
      </c>
      <c r="F6" s="7" t="s">
        <v>20</v>
      </c>
      <c r="G6" s="9" t="s">
        <v>31</v>
      </c>
      <c r="H6" s="5" t="s">
        <v>8</v>
      </c>
      <c r="I6" s="10"/>
      <c r="J6" s="15" t="s">
        <v>20</v>
      </c>
      <c r="K6" s="10">
        <f>COUNTIF(B2:H26, "Tundra")</f>
        <v>17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>
      <c r="A7" s="5" t="s">
        <v>32</v>
      </c>
      <c r="B7" s="5" t="s">
        <v>10</v>
      </c>
      <c r="C7" s="6" t="s">
        <v>33</v>
      </c>
      <c r="D7" s="7" t="s">
        <v>13</v>
      </c>
      <c r="E7" s="8" t="s">
        <v>34</v>
      </c>
      <c r="F7" s="7" t="s">
        <v>12</v>
      </c>
      <c r="G7" s="9" t="s">
        <v>35</v>
      </c>
      <c r="H7" s="5" t="s">
        <v>15</v>
      </c>
      <c r="I7" s="10"/>
      <c r="J7" s="16" t="s">
        <v>15</v>
      </c>
      <c r="K7" s="10">
        <f>COUNTIF(B2:H26, "Freshwater")</f>
        <v>13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>
      <c r="A8" s="5" t="s">
        <v>36</v>
      </c>
      <c r="B8" s="5" t="s">
        <v>8</v>
      </c>
      <c r="C8" s="6" t="s">
        <v>34</v>
      </c>
      <c r="D8" s="7" t="s">
        <v>10</v>
      </c>
      <c r="E8" s="8" t="s">
        <v>37</v>
      </c>
      <c r="F8" s="7" t="s">
        <v>20</v>
      </c>
      <c r="G8" s="9" t="s">
        <v>38</v>
      </c>
      <c r="H8" s="5" t="s">
        <v>15</v>
      </c>
      <c r="I8" s="10"/>
      <c r="J8" s="17" t="s">
        <v>6</v>
      </c>
      <c r="K8" s="10">
        <f>COUNTIF(B2:H26, "Saltwater")</f>
        <v>16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>
      <c r="A9" s="5" t="s">
        <v>39</v>
      </c>
      <c r="B9" s="5" t="s">
        <v>8</v>
      </c>
      <c r="C9" s="6" t="s">
        <v>40</v>
      </c>
      <c r="D9" s="7" t="s">
        <v>13</v>
      </c>
      <c r="E9" s="8" t="s">
        <v>41</v>
      </c>
      <c r="F9" s="7" t="s">
        <v>15</v>
      </c>
      <c r="G9" s="9" t="s">
        <v>42</v>
      </c>
      <c r="H9" s="5" t="s">
        <v>12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>
      <c r="A10" s="5" t="s">
        <v>43</v>
      </c>
      <c r="B10" s="5" t="s">
        <v>6</v>
      </c>
      <c r="C10" s="6" t="s">
        <v>44</v>
      </c>
      <c r="D10" s="7" t="s">
        <v>13</v>
      </c>
      <c r="E10" s="8" t="s">
        <v>45</v>
      </c>
      <c r="F10" s="7" t="s">
        <v>6</v>
      </c>
      <c r="G10" s="9" t="s">
        <v>46</v>
      </c>
      <c r="H10" s="5" t="s">
        <v>20</v>
      </c>
      <c r="I10" s="10"/>
      <c r="J10" s="18" t="s">
        <v>47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>
      <c r="A11" s="5" t="s">
        <v>48</v>
      </c>
      <c r="B11" s="5" t="s">
        <v>12</v>
      </c>
      <c r="C11" s="6" t="s">
        <v>49</v>
      </c>
      <c r="D11" s="19"/>
      <c r="E11" s="8" t="s">
        <v>50</v>
      </c>
      <c r="F11" s="7" t="s">
        <v>8</v>
      </c>
      <c r="G11" s="9" t="s">
        <v>51</v>
      </c>
      <c r="H11" s="5" t="s">
        <v>20</v>
      </c>
      <c r="I11" s="10"/>
      <c r="J11" s="20"/>
      <c r="K11" s="15" t="s">
        <v>20</v>
      </c>
      <c r="L11" s="21" t="s">
        <v>52</v>
      </c>
      <c r="M11" s="21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>
      <c r="A12" s="5" t="s">
        <v>53</v>
      </c>
      <c r="B12" s="5" t="s">
        <v>15</v>
      </c>
      <c r="C12" s="6" t="s">
        <v>54</v>
      </c>
      <c r="D12" s="7" t="s">
        <v>8</v>
      </c>
      <c r="E12" s="8" t="s">
        <v>55</v>
      </c>
      <c r="F12" s="7" t="s">
        <v>20</v>
      </c>
      <c r="G12" s="9" t="s">
        <v>56</v>
      </c>
      <c r="H12" s="5" t="s">
        <v>12</v>
      </c>
      <c r="I12" s="10"/>
      <c r="J12" s="16" t="s">
        <v>15</v>
      </c>
      <c r="K12" s="17" t="s">
        <v>6</v>
      </c>
      <c r="L12" s="21" t="s">
        <v>57</v>
      </c>
      <c r="M12" s="2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>
      <c r="A13" s="5" t="s">
        <v>58</v>
      </c>
      <c r="B13" s="5" t="s">
        <v>20</v>
      </c>
      <c r="C13" s="6" t="s">
        <v>59</v>
      </c>
      <c r="D13" s="19"/>
      <c r="E13" s="8" t="s">
        <v>60</v>
      </c>
      <c r="F13" s="7" t="s">
        <v>15</v>
      </c>
      <c r="G13" s="9" t="s">
        <v>61</v>
      </c>
      <c r="H13" s="5" t="s">
        <v>6</v>
      </c>
      <c r="I13" s="10"/>
      <c r="J13" s="13" t="s">
        <v>12</v>
      </c>
      <c r="K13" s="14" t="s">
        <v>27</v>
      </c>
      <c r="L13" s="21" t="s">
        <v>62</v>
      </c>
      <c r="M13" s="2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>
      <c r="A14" s="5" t="s">
        <v>63</v>
      </c>
      <c r="B14" s="5" t="s">
        <v>6</v>
      </c>
      <c r="C14" s="6" t="s">
        <v>64</v>
      </c>
      <c r="D14" s="7" t="s">
        <v>12</v>
      </c>
      <c r="E14" s="8" t="s">
        <v>65</v>
      </c>
      <c r="F14" s="7" t="s">
        <v>6</v>
      </c>
      <c r="G14" s="9" t="s">
        <v>66</v>
      </c>
      <c r="H14" s="5" t="s">
        <v>6</v>
      </c>
      <c r="I14" s="10"/>
      <c r="J14" s="11" t="s">
        <v>13</v>
      </c>
      <c r="K14" s="12" t="s">
        <v>10</v>
      </c>
      <c r="L14" s="21" t="s">
        <v>67</v>
      </c>
      <c r="M14" s="21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>
      <c r="A15" s="5" t="s">
        <v>68</v>
      </c>
      <c r="B15" s="5" t="s">
        <v>8</v>
      </c>
      <c r="C15" s="6" t="s">
        <v>50</v>
      </c>
      <c r="D15" s="7" t="s">
        <v>20</v>
      </c>
      <c r="E15" s="8" t="s">
        <v>21</v>
      </c>
      <c r="F15" s="7" t="s">
        <v>15</v>
      </c>
      <c r="G15" s="9" t="s">
        <v>69</v>
      </c>
      <c r="H15" s="5" t="s">
        <v>20</v>
      </c>
      <c r="I15" s="10"/>
      <c r="J15" s="20"/>
      <c r="K15" s="20"/>
      <c r="L15" s="20"/>
      <c r="M15" s="2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>
      <c r="A16" s="5" t="s">
        <v>70</v>
      </c>
      <c r="B16" s="5" t="s">
        <v>6</v>
      </c>
      <c r="C16" s="6" t="s">
        <v>58</v>
      </c>
      <c r="D16" s="7" t="s">
        <v>20</v>
      </c>
      <c r="E16" s="8" t="s">
        <v>71</v>
      </c>
      <c r="F16" s="7" t="s">
        <v>8</v>
      </c>
      <c r="G16" s="9" t="s">
        <v>72</v>
      </c>
      <c r="H16" s="5" t="s">
        <v>12</v>
      </c>
      <c r="I16" s="10"/>
      <c r="J16" s="22"/>
      <c r="L16" s="10"/>
      <c r="M16" s="2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>
      <c r="A17" s="5" t="s">
        <v>66</v>
      </c>
      <c r="B17" s="5" t="s">
        <v>10</v>
      </c>
      <c r="C17" s="6" t="s">
        <v>73</v>
      </c>
      <c r="D17" s="7" t="s">
        <v>20</v>
      </c>
      <c r="E17" s="8" t="s">
        <v>74</v>
      </c>
      <c r="F17" s="7" t="s">
        <v>6</v>
      </c>
      <c r="G17" s="9" t="s">
        <v>25</v>
      </c>
      <c r="H17" s="5" t="s">
        <v>15</v>
      </c>
      <c r="I17" s="10"/>
      <c r="J17" s="20"/>
      <c r="K17" s="23"/>
      <c r="L17" s="21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>
      <c r="A18" s="5" t="s">
        <v>61</v>
      </c>
      <c r="B18" s="5" t="s">
        <v>10</v>
      </c>
      <c r="C18" s="6" t="s">
        <v>75</v>
      </c>
      <c r="D18" s="7" t="s">
        <v>10</v>
      </c>
      <c r="E18" s="8" t="s">
        <v>76</v>
      </c>
      <c r="F18" s="7" t="s">
        <v>13</v>
      </c>
      <c r="G18" s="9" t="s">
        <v>77</v>
      </c>
      <c r="H18" s="5" t="s">
        <v>20</v>
      </c>
      <c r="I18" s="10"/>
      <c r="J18" s="23"/>
      <c r="K18" s="23"/>
      <c r="L18" s="21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>
      <c r="A19" s="5" t="s">
        <v>78</v>
      </c>
      <c r="B19" s="5" t="s">
        <v>8</v>
      </c>
      <c r="C19" s="6" t="s">
        <v>79</v>
      </c>
      <c r="D19" s="7" t="s">
        <v>13</v>
      </c>
      <c r="E19" s="8" t="s">
        <v>80</v>
      </c>
      <c r="F19" s="7" t="s">
        <v>8</v>
      </c>
      <c r="G19" s="9" t="s">
        <v>81</v>
      </c>
      <c r="H19" s="5" t="s">
        <v>6</v>
      </c>
      <c r="I19" s="10"/>
      <c r="J19" s="23"/>
      <c r="K19" s="23"/>
      <c r="L19" s="21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>
      <c r="A20" s="5" t="s">
        <v>82</v>
      </c>
      <c r="B20" s="5" t="s">
        <v>13</v>
      </c>
      <c r="C20" s="6" t="s">
        <v>83</v>
      </c>
      <c r="D20" s="7" t="s">
        <v>8</v>
      </c>
      <c r="E20" s="8" t="s">
        <v>84</v>
      </c>
      <c r="F20" s="7" t="s">
        <v>10</v>
      </c>
      <c r="G20" s="9" t="s">
        <v>85</v>
      </c>
      <c r="H20" s="5" t="s">
        <v>20</v>
      </c>
      <c r="I20" s="10"/>
      <c r="J20" s="23"/>
      <c r="K20" s="23"/>
      <c r="L20" s="21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>
      <c r="A21" s="5" t="s">
        <v>86</v>
      </c>
      <c r="B21" s="5" t="s">
        <v>10</v>
      </c>
      <c r="C21" s="6" t="s">
        <v>87</v>
      </c>
      <c r="D21" s="7" t="s">
        <v>20</v>
      </c>
      <c r="E21" s="8" t="s">
        <v>88</v>
      </c>
      <c r="F21" s="7" t="s">
        <v>10</v>
      </c>
      <c r="G21" s="9" t="s">
        <v>89</v>
      </c>
      <c r="H21" s="5" t="s">
        <v>6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>
      <c r="A22" s="5" t="s">
        <v>90</v>
      </c>
      <c r="B22" s="5" t="s">
        <v>10</v>
      </c>
      <c r="C22" s="6" t="s">
        <v>91</v>
      </c>
      <c r="D22" s="19"/>
      <c r="E22" s="8" t="s">
        <v>92</v>
      </c>
      <c r="F22" s="7" t="s">
        <v>12</v>
      </c>
      <c r="G22" s="9" t="s">
        <v>93</v>
      </c>
      <c r="H22" s="5" t="s">
        <v>6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>
      <c r="A23" s="5" t="s">
        <v>94</v>
      </c>
      <c r="B23" s="5" t="s">
        <v>12</v>
      </c>
      <c r="C23" s="6" t="s">
        <v>95</v>
      </c>
      <c r="D23" s="7" t="s">
        <v>15</v>
      </c>
      <c r="E23" s="8" t="s">
        <v>96</v>
      </c>
      <c r="F23" s="7" t="s">
        <v>12</v>
      </c>
      <c r="G23" s="9" t="s">
        <v>97</v>
      </c>
      <c r="H23" s="5" t="s">
        <v>15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>
      <c r="A24" s="5" t="s">
        <v>98</v>
      </c>
      <c r="B24" s="5" t="s">
        <v>20</v>
      </c>
      <c r="C24" s="6" t="s">
        <v>99</v>
      </c>
      <c r="D24" s="7" t="s">
        <v>6</v>
      </c>
      <c r="E24" s="8" t="s">
        <v>100</v>
      </c>
      <c r="F24" s="7" t="s">
        <v>6</v>
      </c>
      <c r="G24" s="9" t="s">
        <v>101</v>
      </c>
      <c r="H24" s="5" t="s">
        <v>15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>
      <c r="A25" s="5" t="s">
        <v>70</v>
      </c>
      <c r="B25" s="5" t="s">
        <v>15</v>
      </c>
      <c r="C25" s="24"/>
      <c r="D25" s="19"/>
      <c r="E25" s="10"/>
      <c r="F25" s="10"/>
      <c r="G25" s="24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>
      <c r="A26" s="5" t="s">
        <v>102</v>
      </c>
      <c r="B26" s="10"/>
      <c r="C26" s="24"/>
      <c r="D26" s="19"/>
      <c r="E26" s="10"/>
      <c r="F26" s="10"/>
      <c r="G26" s="24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</row>
  </sheetData>
  <mergeCells count="7">
    <mergeCell ref="A1:B1"/>
    <mergeCell ref="C1:D1"/>
    <mergeCell ref="E1:F1"/>
    <mergeCell ref="G1:H1"/>
    <mergeCell ref="J1:K1"/>
    <mergeCell ref="J10:K10"/>
    <mergeCell ref="J16:K16"/>
  </mergeCells>
  <dataValidations>
    <dataValidation type="list" allowBlank="1" showErrorMessage="1" sqref="F2:F24 B2:B26 D2:D26 H2:H26">
      <formula1>"Desert,Grassland,Tundra,Taiga,Temperate Forest,Freshwater,Saltwater"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4.13"/>
    <col customWidth="1" min="9" max="9" width="44.75"/>
    <col customWidth="1" min="10" max="10" width="43.13"/>
  </cols>
  <sheetData>
    <row r="2">
      <c r="A2" s="25" t="s">
        <v>103</v>
      </c>
      <c r="B2" s="26"/>
      <c r="C2" s="27" t="s">
        <v>104</v>
      </c>
      <c r="D2" s="27" t="s">
        <v>105</v>
      </c>
      <c r="E2" s="27" t="s">
        <v>106</v>
      </c>
      <c r="F2" s="27" t="s">
        <v>107</v>
      </c>
      <c r="G2" s="27" t="s">
        <v>108</v>
      </c>
      <c r="H2" s="27" t="s">
        <v>109</v>
      </c>
      <c r="I2" s="27" t="s">
        <v>110</v>
      </c>
      <c r="J2" s="27" t="s">
        <v>111</v>
      </c>
    </row>
    <row r="3">
      <c r="A3" s="28" t="s">
        <v>9</v>
      </c>
      <c r="B3" s="26"/>
      <c r="C3" s="29">
        <v>89.0</v>
      </c>
      <c r="D3" s="29">
        <v>91.0</v>
      </c>
      <c r="E3" s="30">
        <v>99.0</v>
      </c>
      <c r="F3" s="31">
        <v>86.0</v>
      </c>
      <c r="G3" s="29">
        <v>91.0</v>
      </c>
      <c r="H3" s="32">
        <v>64.0</v>
      </c>
    </row>
    <row r="4">
      <c r="A4" s="33" t="s">
        <v>17</v>
      </c>
      <c r="B4" s="26"/>
      <c r="C4" s="34">
        <v>81.0</v>
      </c>
      <c r="D4" s="29">
        <v>94.0</v>
      </c>
      <c r="E4" s="29">
        <v>93.0</v>
      </c>
      <c r="F4" s="35">
        <v>109.0</v>
      </c>
      <c r="G4" s="29">
        <v>94.0</v>
      </c>
      <c r="H4" s="32">
        <v>52.0</v>
      </c>
    </row>
    <row r="5">
      <c r="A5" s="36" t="s">
        <v>22</v>
      </c>
      <c r="B5" s="26"/>
      <c r="C5" s="29">
        <v>89.0</v>
      </c>
      <c r="D5" s="34">
        <v>74.0</v>
      </c>
      <c r="E5" s="37">
        <v>117.0</v>
      </c>
      <c r="F5" s="37">
        <v>112.0</v>
      </c>
      <c r="G5" s="30">
        <v>98.0</v>
      </c>
      <c r="H5" s="32">
        <v>41.0</v>
      </c>
    </row>
    <row r="6">
      <c r="A6" s="33" t="s">
        <v>25</v>
      </c>
      <c r="B6" s="26"/>
      <c r="C6" s="34">
        <v>78.0</v>
      </c>
      <c r="D6" s="29">
        <v>90.0</v>
      </c>
      <c r="E6" s="29">
        <v>92.0</v>
      </c>
      <c r="F6" s="30">
        <v>100.0</v>
      </c>
      <c r="G6" s="29">
        <v>90.0</v>
      </c>
      <c r="H6" s="32">
        <v>66.0</v>
      </c>
    </row>
    <row r="7">
      <c r="A7" s="33" t="s">
        <v>30</v>
      </c>
      <c r="B7" s="26"/>
      <c r="C7" s="29">
        <v>91.0</v>
      </c>
      <c r="D7" s="30">
        <v>102.0</v>
      </c>
      <c r="E7" s="29">
        <v>96.0</v>
      </c>
      <c r="F7" s="29">
        <v>92.0</v>
      </c>
      <c r="G7" s="29">
        <v>95.0</v>
      </c>
      <c r="H7" s="32">
        <v>51.0</v>
      </c>
    </row>
    <row r="8">
      <c r="A8" s="36" t="s">
        <v>112</v>
      </c>
      <c r="B8" s="26"/>
      <c r="C8" s="30">
        <v>99.0</v>
      </c>
      <c r="D8" s="35">
        <v>108.0</v>
      </c>
      <c r="E8" s="29">
        <v>94.0</v>
      </c>
      <c r="F8" s="29">
        <v>92.0</v>
      </c>
      <c r="G8" s="30">
        <v>98.0</v>
      </c>
      <c r="H8" s="32">
        <v>41.0</v>
      </c>
    </row>
    <row r="9">
      <c r="A9" s="38" t="s">
        <v>37</v>
      </c>
      <c r="B9" s="26"/>
      <c r="C9" s="29">
        <v>94.0</v>
      </c>
      <c r="D9" s="37">
        <v>114.0</v>
      </c>
      <c r="E9" s="37">
        <v>117.0</v>
      </c>
      <c r="F9" s="39">
        <v>122.0</v>
      </c>
      <c r="G9" s="37">
        <v>112.0</v>
      </c>
      <c r="H9" s="32">
        <v>9.0</v>
      </c>
    </row>
    <row r="10">
      <c r="A10" s="36" t="s">
        <v>41</v>
      </c>
      <c r="B10" s="26"/>
      <c r="C10" s="31">
        <v>85.0</v>
      </c>
      <c r="D10" s="30">
        <v>101.0</v>
      </c>
      <c r="E10" s="37">
        <v>113.0</v>
      </c>
      <c r="F10" s="29">
        <v>91.0</v>
      </c>
      <c r="G10" s="30">
        <v>98.0</v>
      </c>
      <c r="H10" s="32">
        <v>41.0</v>
      </c>
    </row>
    <row r="11">
      <c r="A11" s="38" t="s">
        <v>45</v>
      </c>
      <c r="B11" s="26"/>
      <c r="C11" s="35">
        <v>107.0</v>
      </c>
      <c r="D11" s="37">
        <v>117.0</v>
      </c>
      <c r="E11" s="35">
        <v>106.0</v>
      </c>
      <c r="F11" s="37">
        <v>116.0</v>
      </c>
      <c r="G11" s="37">
        <v>112.0</v>
      </c>
      <c r="H11" s="32">
        <v>9.0</v>
      </c>
    </row>
    <row r="12">
      <c r="A12" s="33" t="s">
        <v>50</v>
      </c>
      <c r="B12" s="26"/>
      <c r="C12" s="31">
        <v>87.0</v>
      </c>
      <c r="D12" s="31">
        <v>88.0</v>
      </c>
      <c r="E12" s="29">
        <v>89.0</v>
      </c>
      <c r="F12" s="29">
        <v>92.0</v>
      </c>
      <c r="G12" s="29">
        <v>89.0</v>
      </c>
      <c r="H12" s="32">
        <v>68.0</v>
      </c>
    </row>
    <row r="13">
      <c r="A13" s="38" t="s">
        <v>55</v>
      </c>
      <c r="B13" s="26"/>
      <c r="C13" s="35">
        <v>110.0</v>
      </c>
      <c r="D13" s="35">
        <v>108.0</v>
      </c>
      <c r="E13" s="37">
        <v>112.0</v>
      </c>
      <c r="F13" s="37">
        <v>117.0</v>
      </c>
      <c r="G13" s="37">
        <v>112.0</v>
      </c>
      <c r="H13" s="32">
        <v>9.0</v>
      </c>
    </row>
    <row r="14">
      <c r="A14" s="40" t="s">
        <v>60</v>
      </c>
      <c r="B14" s="26"/>
      <c r="C14" s="34">
        <v>81.0</v>
      </c>
      <c r="D14" s="31">
        <v>85.0</v>
      </c>
      <c r="E14" s="29">
        <v>93.0</v>
      </c>
      <c r="F14" s="41">
        <v>73.0</v>
      </c>
      <c r="G14" s="31">
        <v>83.0</v>
      </c>
      <c r="H14" s="32">
        <v>85.0</v>
      </c>
    </row>
    <row r="15">
      <c r="A15" s="42" t="s">
        <v>65</v>
      </c>
      <c r="B15" s="26"/>
      <c r="C15" s="30">
        <v>97.0</v>
      </c>
      <c r="D15" s="35">
        <v>110.0</v>
      </c>
      <c r="E15" s="35">
        <v>106.0</v>
      </c>
      <c r="F15" s="37">
        <v>118.0</v>
      </c>
      <c r="G15" s="35">
        <v>108.0</v>
      </c>
      <c r="H15" s="32">
        <v>20.0</v>
      </c>
    </row>
    <row r="16">
      <c r="A16" s="42" t="s">
        <v>21</v>
      </c>
      <c r="B16" s="26"/>
      <c r="C16" s="35">
        <v>104.0</v>
      </c>
      <c r="D16" s="37">
        <v>117.0</v>
      </c>
      <c r="E16" s="35">
        <v>110.0</v>
      </c>
      <c r="F16" s="37">
        <v>112.0</v>
      </c>
      <c r="G16" s="35">
        <v>111.0</v>
      </c>
      <c r="H16" s="32">
        <v>13.0</v>
      </c>
    </row>
    <row r="17">
      <c r="A17" s="40" t="s">
        <v>71</v>
      </c>
      <c r="B17" s="26"/>
      <c r="C17" s="34">
        <v>78.0</v>
      </c>
      <c r="D17" s="29">
        <v>94.0</v>
      </c>
      <c r="E17" s="34">
        <v>77.0</v>
      </c>
      <c r="F17" s="29">
        <v>89.0</v>
      </c>
      <c r="G17" s="31">
        <v>85.0</v>
      </c>
      <c r="H17" s="32">
        <v>82.0</v>
      </c>
    </row>
    <row r="18">
      <c r="A18" s="36" t="s">
        <v>74</v>
      </c>
      <c r="B18" s="26"/>
      <c r="C18" s="29">
        <v>91.0</v>
      </c>
      <c r="D18" s="29">
        <v>93.0</v>
      </c>
      <c r="E18" s="37">
        <v>112.0</v>
      </c>
      <c r="F18" s="35">
        <v>104.0</v>
      </c>
      <c r="G18" s="30">
        <v>100.0</v>
      </c>
      <c r="H18" s="32">
        <v>34.0</v>
      </c>
    </row>
    <row r="19">
      <c r="A19" s="42" t="s">
        <v>76</v>
      </c>
      <c r="B19" s="26"/>
      <c r="C19" s="35">
        <v>106.0</v>
      </c>
      <c r="D19" s="37">
        <v>116.0</v>
      </c>
      <c r="E19" s="39">
        <v>120.0</v>
      </c>
      <c r="F19" s="30">
        <v>97.0</v>
      </c>
      <c r="G19" s="35">
        <v>110.0</v>
      </c>
      <c r="H19" s="32">
        <v>14.0</v>
      </c>
    </row>
    <row r="20">
      <c r="A20" s="42" t="s">
        <v>80</v>
      </c>
      <c r="B20" s="26"/>
      <c r="C20" s="30">
        <v>99.0</v>
      </c>
      <c r="D20" s="37">
        <v>112.0</v>
      </c>
      <c r="E20" s="35">
        <v>108.0</v>
      </c>
      <c r="F20" s="37">
        <v>114.0</v>
      </c>
      <c r="G20" s="35">
        <v>108.0</v>
      </c>
      <c r="H20" s="32">
        <v>20.0</v>
      </c>
    </row>
    <row r="21">
      <c r="A21" s="42" t="s">
        <v>84</v>
      </c>
      <c r="B21" s="26"/>
      <c r="C21" s="35">
        <v>104.0</v>
      </c>
      <c r="D21" s="35">
        <v>104.0</v>
      </c>
      <c r="E21" s="35">
        <v>104.0</v>
      </c>
      <c r="F21" s="35">
        <v>109.0</v>
      </c>
      <c r="G21" s="35">
        <v>105.0</v>
      </c>
      <c r="H21" s="32">
        <v>27.0</v>
      </c>
    </row>
    <row r="22">
      <c r="A22" s="36" t="s">
        <v>88</v>
      </c>
      <c r="B22" s="26"/>
      <c r="C22" s="31">
        <v>87.0</v>
      </c>
      <c r="D22" s="35">
        <v>104.0</v>
      </c>
      <c r="E22" s="30">
        <v>102.0</v>
      </c>
      <c r="F22" s="35">
        <v>105.0</v>
      </c>
      <c r="G22" s="30">
        <v>100.0</v>
      </c>
      <c r="H22" s="32">
        <v>34.0</v>
      </c>
    </row>
    <row r="23">
      <c r="A23" s="38" t="s">
        <v>92</v>
      </c>
      <c r="B23" s="26"/>
      <c r="C23" s="35">
        <v>106.0</v>
      </c>
      <c r="D23" s="37">
        <v>114.0</v>
      </c>
      <c r="E23" s="35">
        <v>107.0</v>
      </c>
      <c r="F23" s="39">
        <v>123.0</v>
      </c>
      <c r="G23" s="37">
        <v>113.0</v>
      </c>
      <c r="H23" s="32">
        <v>6.0</v>
      </c>
    </row>
    <row r="24">
      <c r="A24" s="43" t="s">
        <v>96</v>
      </c>
      <c r="B24" s="26"/>
      <c r="C24" s="34">
        <v>81.0</v>
      </c>
      <c r="D24" s="34">
        <v>80.0</v>
      </c>
      <c r="E24" s="31">
        <v>83.0</v>
      </c>
      <c r="F24" s="29">
        <v>90.0</v>
      </c>
      <c r="G24" s="31">
        <v>84.0</v>
      </c>
      <c r="H24" s="32">
        <v>84.0</v>
      </c>
    </row>
    <row r="25">
      <c r="A25" s="33" t="s">
        <v>100</v>
      </c>
      <c r="B25" s="26"/>
      <c r="C25" s="30">
        <v>99.0</v>
      </c>
      <c r="D25" s="29">
        <v>92.0</v>
      </c>
      <c r="E25" s="29">
        <v>96.0</v>
      </c>
      <c r="F25" s="31">
        <v>84.0</v>
      </c>
      <c r="G25" s="29">
        <v>93.0</v>
      </c>
      <c r="H25" s="32">
        <v>58.0</v>
      </c>
    </row>
    <row r="26">
      <c r="A26" s="44" t="s">
        <v>113</v>
      </c>
      <c r="B26" s="45"/>
      <c r="C26" s="46">
        <f t="shared" ref="C26:H26" si="1">AVERAGE(C3:C25)</f>
        <v>93.17391304</v>
      </c>
      <c r="D26" s="46">
        <f t="shared" si="1"/>
        <v>100.3478261</v>
      </c>
      <c r="E26" s="46">
        <f t="shared" si="1"/>
        <v>102</v>
      </c>
      <c r="F26" s="46">
        <f t="shared" si="1"/>
        <v>102.0434783</v>
      </c>
      <c r="G26" s="46">
        <f t="shared" si="1"/>
        <v>99.52173913</v>
      </c>
      <c r="H26" s="46">
        <f t="shared" si="1"/>
        <v>40.34782609</v>
      </c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>
      <c r="C27" s="47"/>
      <c r="D27" s="47"/>
      <c r="F27" s="47"/>
      <c r="G27" s="47"/>
      <c r="H27" s="26"/>
    </row>
    <row r="28">
      <c r="C28" s="48" t="s">
        <v>114</v>
      </c>
      <c r="D28" s="48" t="s">
        <v>115</v>
      </c>
      <c r="F28" s="49" t="s">
        <v>116</v>
      </c>
      <c r="G28" s="49" t="s">
        <v>117</v>
      </c>
      <c r="H28" s="26"/>
    </row>
    <row r="29">
      <c r="C29" s="50" t="s">
        <v>118</v>
      </c>
      <c r="D29" s="50" t="s">
        <v>119</v>
      </c>
      <c r="F29" s="51" t="s">
        <v>120</v>
      </c>
      <c r="G29" s="51" t="s">
        <v>121</v>
      </c>
      <c r="H29" s="26"/>
    </row>
    <row r="30">
      <c r="C30" s="52" t="s">
        <v>122</v>
      </c>
      <c r="D30" s="52" t="s">
        <v>123</v>
      </c>
      <c r="F30" s="53" t="s">
        <v>124</v>
      </c>
      <c r="G30" s="53" t="s">
        <v>125</v>
      </c>
      <c r="H30" s="26"/>
    </row>
    <row r="31">
      <c r="C31" s="54" t="s">
        <v>116</v>
      </c>
      <c r="D31" s="54" t="s">
        <v>126</v>
      </c>
      <c r="F31" s="55" t="s">
        <v>127</v>
      </c>
      <c r="G31" s="55" t="s">
        <v>128</v>
      </c>
      <c r="H31" s="26"/>
    </row>
    <row r="32">
      <c r="C32" s="56" t="s">
        <v>116</v>
      </c>
      <c r="D32" s="56" t="s">
        <v>129</v>
      </c>
      <c r="E32" s="26"/>
      <c r="F32" s="26"/>
      <c r="G32" s="26"/>
      <c r="H32" s="26"/>
    </row>
    <row r="34">
      <c r="A34" s="57"/>
      <c r="C34" s="58" t="s">
        <v>104</v>
      </c>
      <c r="D34" s="58" t="s">
        <v>130</v>
      </c>
      <c r="E34" s="58" t="s">
        <v>106</v>
      </c>
      <c r="F34" s="58" t="s">
        <v>107</v>
      </c>
      <c r="G34" s="59" t="s">
        <v>131</v>
      </c>
    </row>
    <row r="35">
      <c r="A35" s="60" t="s">
        <v>11</v>
      </c>
      <c r="C35" s="61">
        <v>93.0</v>
      </c>
      <c r="D35" s="62">
        <v>84.0</v>
      </c>
      <c r="E35" s="62">
        <v>83.0</v>
      </c>
      <c r="F35" s="62">
        <v>80.0</v>
      </c>
      <c r="G35" s="63">
        <f t="shared" ref="G35:G57" si="2">AVERAGE(C35:F35)</f>
        <v>85</v>
      </c>
    </row>
    <row r="36">
      <c r="A36" s="64" t="s">
        <v>18</v>
      </c>
      <c r="C36" s="61">
        <v>98.0</v>
      </c>
      <c r="D36" s="65">
        <v>111.0</v>
      </c>
      <c r="E36" s="65">
        <v>120.0</v>
      </c>
      <c r="F36" s="65">
        <v>112.0</v>
      </c>
      <c r="G36" s="66">
        <f t="shared" si="2"/>
        <v>110.25</v>
      </c>
    </row>
    <row r="37">
      <c r="A37" s="67" t="s">
        <v>132</v>
      </c>
      <c r="C37" s="62">
        <v>87.0</v>
      </c>
      <c r="D37" s="61">
        <v>98.0</v>
      </c>
      <c r="E37" s="61">
        <v>95.0</v>
      </c>
      <c r="F37" s="61">
        <v>91.0</v>
      </c>
      <c r="G37" s="68">
        <f t="shared" si="2"/>
        <v>92.75</v>
      </c>
    </row>
    <row r="38">
      <c r="A38" s="67" t="s">
        <v>26</v>
      </c>
      <c r="C38" s="62">
        <v>87.0</v>
      </c>
      <c r="D38" s="69">
        <v>74.0</v>
      </c>
      <c r="E38" s="65">
        <v>117.0</v>
      </c>
      <c r="F38" s="65">
        <v>112.0</v>
      </c>
      <c r="G38" s="68">
        <f t="shared" si="2"/>
        <v>97.5</v>
      </c>
    </row>
    <row r="39">
      <c r="A39" s="70" t="s">
        <v>31</v>
      </c>
      <c r="C39" s="71">
        <v>102.0</v>
      </c>
      <c r="D39" s="65">
        <v>120.0</v>
      </c>
      <c r="E39" s="65">
        <v>114.0</v>
      </c>
      <c r="F39" s="65">
        <v>132.0</v>
      </c>
      <c r="G39" s="66">
        <f t="shared" si="2"/>
        <v>117</v>
      </c>
    </row>
    <row r="40">
      <c r="A40" s="72" t="s">
        <v>35</v>
      </c>
      <c r="C40" s="61">
        <v>93.0</v>
      </c>
      <c r="D40" s="62">
        <v>90.0</v>
      </c>
      <c r="E40" s="71">
        <v>100.0</v>
      </c>
      <c r="F40" s="62">
        <v>90.0</v>
      </c>
      <c r="G40" s="68">
        <f t="shared" si="2"/>
        <v>93.25</v>
      </c>
    </row>
    <row r="41">
      <c r="A41" s="67" t="s">
        <v>38</v>
      </c>
      <c r="C41" s="62">
        <v>88.0</v>
      </c>
      <c r="D41" s="61">
        <v>92.0</v>
      </c>
      <c r="E41" s="71">
        <v>105.0</v>
      </c>
      <c r="F41" s="62">
        <v>88.0</v>
      </c>
      <c r="G41" s="68">
        <f t="shared" si="2"/>
        <v>93.25</v>
      </c>
    </row>
    <row r="42">
      <c r="A42" s="67" t="s">
        <v>42</v>
      </c>
      <c r="C42" s="71">
        <v>103.0</v>
      </c>
      <c r="D42" s="71">
        <v>106.0</v>
      </c>
      <c r="E42" s="71">
        <v>103.0</v>
      </c>
      <c r="F42" s="62">
        <v>90.0</v>
      </c>
      <c r="G42" s="73">
        <f t="shared" si="2"/>
        <v>100.5</v>
      </c>
    </row>
    <row r="43">
      <c r="A43" s="74" t="s">
        <v>46</v>
      </c>
      <c r="C43" s="62">
        <v>81.0</v>
      </c>
      <c r="D43" s="62">
        <v>85.0</v>
      </c>
      <c r="E43" s="62">
        <v>87.0</v>
      </c>
      <c r="F43" s="61">
        <v>95.0</v>
      </c>
      <c r="G43" s="63">
        <f t="shared" si="2"/>
        <v>87</v>
      </c>
    </row>
    <row r="44">
      <c r="A44" s="64" t="s">
        <v>51</v>
      </c>
      <c r="C44" s="65">
        <v>111.0</v>
      </c>
      <c r="D44" s="65">
        <v>111.0</v>
      </c>
      <c r="E44" s="71">
        <v>109.0</v>
      </c>
      <c r="F44" s="71">
        <v>109.0</v>
      </c>
      <c r="G44" s="73">
        <f t="shared" si="2"/>
        <v>110</v>
      </c>
    </row>
    <row r="45">
      <c r="A45" s="60" t="s">
        <v>56</v>
      </c>
      <c r="C45" s="69">
        <v>74.0</v>
      </c>
      <c r="D45" s="62">
        <v>85.0</v>
      </c>
      <c r="E45" s="62">
        <v>84.0</v>
      </c>
      <c r="F45" s="62">
        <v>87.0</v>
      </c>
      <c r="G45" s="63">
        <f t="shared" si="2"/>
        <v>82.5</v>
      </c>
    </row>
    <row r="46">
      <c r="A46" s="67" t="s">
        <v>61</v>
      </c>
      <c r="C46" s="62">
        <v>83.0</v>
      </c>
      <c r="D46" s="62">
        <v>90.0</v>
      </c>
      <c r="E46" s="71">
        <v>101.0</v>
      </c>
      <c r="F46" s="71">
        <v>102.0</v>
      </c>
      <c r="G46" s="68">
        <f t="shared" si="2"/>
        <v>94</v>
      </c>
    </row>
    <row r="47">
      <c r="A47" s="72" t="s">
        <v>66</v>
      </c>
      <c r="C47" s="61">
        <v>95.0</v>
      </c>
      <c r="D47" s="61">
        <v>94.0</v>
      </c>
      <c r="E47" s="61">
        <v>95.0</v>
      </c>
      <c r="F47" s="71">
        <v>100.0</v>
      </c>
      <c r="G47" s="68">
        <f t="shared" si="2"/>
        <v>96</v>
      </c>
    </row>
    <row r="48">
      <c r="A48" s="60" t="s">
        <v>69</v>
      </c>
      <c r="C48" s="62">
        <v>84.0</v>
      </c>
      <c r="D48" s="62">
        <v>83.0</v>
      </c>
      <c r="E48" s="62">
        <v>88.0</v>
      </c>
      <c r="F48" s="69">
        <v>67.0</v>
      </c>
      <c r="G48" s="63">
        <f t="shared" si="2"/>
        <v>80.5</v>
      </c>
    </row>
    <row r="49">
      <c r="A49" s="75" t="s">
        <v>72</v>
      </c>
      <c r="C49" s="62">
        <v>86.0</v>
      </c>
      <c r="D49" s="61">
        <v>92.0</v>
      </c>
      <c r="E49" s="61">
        <v>97.0</v>
      </c>
      <c r="F49" s="62">
        <v>82.0</v>
      </c>
      <c r="G49" s="63">
        <f t="shared" si="2"/>
        <v>89.25</v>
      </c>
    </row>
    <row r="50">
      <c r="A50" s="64" t="s">
        <v>25</v>
      </c>
      <c r="C50" s="71">
        <v>105.0</v>
      </c>
      <c r="D50" s="71">
        <v>102.0</v>
      </c>
      <c r="E50" s="65">
        <v>113.0</v>
      </c>
      <c r="F50" s="65">
        <v>118.0</v>
      </c>
      <c r="G50" s="73">
        <f t="shared" si="2"/>
        <v>109.5</v>
      </c>
    </row>
    <row r="51">
      <c r="A51" s="67" t="s">
        <v>77</v>
      </c>
      <c r="C51" s="61">
        <v>97.0</v>
      </c>
      <c r="D51" s="61">
        <v>98.0</v>
      </c>
      <c r="E51" s="71">
        <v>103.0</v>
      </c>
      <c r="F51" s="61">
        <v>98.0</v>
      </c>
      <c r="G51" s="68">
        <f t="shared" si="2"/>
        <v>99</v>
      </c>
    </row>
    <row r="52">
      <c r="A52" s="72" t="s">
        <v>81</v>
      </c>
      <c r="C52" s="61">
        <v>98.0</v>
      </c>
      <c r="D52" s="71">
        <v>104.0</v>
      </c>
      <c r="E52" s="62">
        <v>87.0</v>
      </c>
      <c r="F52" s="61">
        <v>97.0</v>
      </c>
      <c r="G52" s="68">
        <f t="shared" si="2"/>
        <v>96.5</v>
      </c>
    </row>
    <row r="53">
      <c r="A53" s="76" t="s">
        <v>85</v>
      </c>
      <c r="C53" s="62">
        <v>86.0</v>
      </c>
      <c r="D53" s="69">
        <v>76.0</v>
      </c>
      <c r="E53" s="69">
        <v>79.0</v>
      </c>
      <c r="F53" s="69">
        <v>76.0</v>
      </c>
      <c r="G53" s="77">
        <f t="shared" si="2"/>
        <v>79.25</v>
      </c>
    </row>
    <row r="54">
      <c r="A54" s="75" t="s">
        <v>89</v>
      </c>
      <c r="C54" s="69">
        <v>77.0</v>
      </c>
      <c r="D54" s="71">
        <v>100.0</v>
      </c>
      <c r="E54" s="62">
        <v>82.0</v>
      </c>
      <c r="F54" s="62">
        <v>87.0</v>
      </c>
      <c r="G54" s="63">
        <f t="shared" si="2"/>
        <v>86.5</v>
      </c>
    </row>
    <row r="55">
      <c r="A55" s="70" t="s">
        <v>93</v>
      </c>
      <c r="C55" s="61">
        <v>97.0</v>
      </c>
      <c r="D55" s="65">
        <v>112.0</v>
      </c>
      <c r="E55" s="65">
        <v>114.0</v>
      </c>
      <c r="F55" s="65">
        <v>115.0</v>
      </c>
      <c r="G55" s="73">
        <f t="shared" si="2"/>
        <v>109.5</v>
      </c>
    </row>
    <row r="56">
      <c r="A56" s="67" t="s">
        <v>97</v>
      </c>
      <c r="C56" s="62">
        <v>86.0</v>
      </c>
      <c r="D56" s="61">
        <v>98.0</v>
      </c>
      <c r="E56" s="61">
        <v>94.0</v>
      </c>
      <c r="F56" s="71">
        <v>106.0</v>
      </c>
      <c r="G56" s="68">
        <f t="shared" si="2"/>
        <v>96</v>
      </c>
    </row>
    <row r="57">
      <c r="A57" s="74" t="s">
        <v>101</v>
      </c>
      <c r="C57" s="62">
        <v>83.0</v>
      </c>
      <c r="D57" s="62">
        <v>85.0</v>
      </c>
      <c r="E57" s="61">
        <v>93.0</v>
      </c>
      <c r="F57" s="61">
        <v>93.0</v>
      </c>
      <c r="G57" s="63">
        <f t="shared" si="2"/>
        <v>88.5</v>
      </c>
    </row>
    <row r="58">
      <c r="C58" s="78">
        <f t="shared" ref="C58:G58" si="3">AVERAGE(C35:C57)</f>
        <v>91.04347826</v>
      </c>
      <c r="D58" s="78">
        <f t="shared" si="3"/>
        <v>95.2173913</v>
      </c>
      <c r="E58" s="78">
        <f t="shared" si="3"/>
        <v>98.39130435</v>
      </c>
      <c r="F58" s="78">
        <f t="shared" si="3"/>
        <v>96.82608696</v>
      </c>
      <c r="G58" s="79">
        <f t="shared" si="3"/>
        <v>95.36956522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9.25"/>
    <col customWidth="1" min="2" max="2" width="10.25"/>
    <col customWidth="1" min="3" max="3" width="10.63"/>
    <col customWidth="1" min="10" max="10" width="15.5"/>
  </cols>
  <sheetData>
    <row r="1">
      <c r="A1" s="80"/>
      <c r="B1" s="81" t="s">
        <v>133</v>
      </c>
      <c r="C1" s="81" t="s">
        <v>134</v>
      </c>
      <c r="D1" s="82" t="s">
        <v>135</v>
      </c>
      <c r="E1" s="83" t="s">
        <v>136</v>
      </c>
      <c r="F1" s="84" t="s">
        <v>137</v>
      </c>
      <c r="G1" s="83" t="s">
        <v>138</v>
      </c>
      <c r="H1" s="84" t="s">
        <v>139</v>
      </c>
      <c r="I1" s="84" t="s">
        <v>140</v>
      </c>
      <c r="J1" s="84"/>
      <c r="K1" s="84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</row>
    <row r="2">
      <c r="A2" s="86" t="s">
        <v>141</v>
      </c>
      <c r="B2" s="87"/>
      <c r="C2" s="87"/>
      <c r="D2" s="87"/>
      <c r="E2" s="88"/>
      <c r="G2" s="88"/>
      <c r="H2" s="88"/>
      <c r="I2" s="88"/>
      <c r="M2" s="89" t="s">
        <v>142</v>
      </c>
    </row>
    <row r="3">
      <c r="A3" s="90" t="s">
        <v>143</v>
      </c>
      <c r="B3" s="87"/>
      <c r="C3" s="87"/>
      <c r="D3" s="87"/>
      <c r="E3" s="88"/>
      <c r="G3" s="88"/>
      <c r="H3" s="88"/>
      <c r="I3" s="88"/>
      <c r="M3" s="91" t="s">
        <v>144</v>
      </c>
    </row>
    <row r="4">
      <c r="A4" s="92" t="s">
        <v>145</v>
      </c>
      <c r="B4" s="87"/>
      <c r="C4" s="87"/>
      <c r="D4" s="87"/>
      <c r="E4" s="88"/>
      <c r="G4" s="88"/>
      <c r="H4" s="88"/>
      <c r="I4" s="88"/>
      <c r="M4" s="93" t="s">
        <v>146</v>
      </c>
    </row>
    <row r="5">
      <c r="A5" s="94" t="s">
        <v>147</v>
      </c>
      <c r="B5" s="87"/>
      <c r="C5" s="87"/>
      <c r="D5" s="87"/>
      <c r="E5" s="88"/>
      <c r="G5" s="88"/>
      <c r="H5" s="88"/>
      <c r="I5" s="88"/>
      <c r="M5" s="95" t="s">
        <v>148</v>
      </c>
    </row>
    <row r="6">
      <c r="A6" s="96" t="s">
        <v>149</v>
      </c>
      <c r="B6" s="87"/>
      <c r="C6" s="87"/>
      <c r="D6" s="87"/>
      <c r="H6" s="88"/>
      <c r="I6" s="88"/>
      <c r="M6" s="97" t="s">
        <v>150</v>
      </c>
    </row>
    <row r="7">
      <c r="A7" s="26"/>
      <c r="B7" s="87"/>
      <c r="C7" s="87"/>
      <c r="D7" s="87"/>
      <c r="H7" s="88"/>
      <c r="I7" s="88"/>
    </row>
    <row r="8">
      <c r="A8" s="26"/>
      <c r="B8" s="87"/>
      <c r="C8" s="87"/>
      <c r="D8" s="87"/>
      <c r="H8" s="88"/>
      <c r="I8" s="88"/>
    </row>
    <row r="9">
      <c r="A9" s="26"/>
      <c r="B9" s="87" t="s">
        <v>151</v>
      </c>
      <c r="E9" s="98" t="s">
        <v>152</v>
      </c>
      <c r="F9" s="87" t="s">
        <v>153</v>
      </c>
      <c r="H9" s="99" t="s">
        <v>154</v>
      </c>
      <c r="J9" s="98" t="s">
        <v>155</v>
      </c>
    </row>
    <row r="10">
      <c r="A10" s="100" t="s">
        <v>103</v>
      </c>
      <c r="B10" s="101" t="s">
        <v>156</v>
      </c>
      <c r="C10" s="101" t="s">
        <v>157</v>
      </c>
      <c r="D10" s="102" t="s">
        <v>158</v>
      </c>
      <c r="E10" s="103" t="s">
        <v>159</v>
      </c>
      <c r="F10" s="104" t="s">
        <v>137</v>
      </c>
      <c r="G10" s="103" t="s">
        <v>160</v>
      </c>
      <c r="H10" s="101" t="s">
        <v>156</v>
      </c>
      <c r="I10" s="101" t="s">
        <v>161</v>
      </c>
      <c r="J10" s="105" t="s">
        <v>162</v>
      </c>
    </row>
    <row r="11">
      <c r="A11" s="106" t="s">
        <v>9</v>
      </c>
      <c r="B11" s="107">
        <v>3.0</v>
      </c>
      <c r="C11" s="107">
        <v>7.0</v>
      </c>
      <c r="D11" s="108">
        <v>6.0</v>
      </c>
      <c r="E11" s="108">
        <v>11.0</v>
      </c>
      <c r="F11" s="109">
        <v>82.0</v>
      </c>
      <c r="G11" s="110">
        <v>8.0</v>
      </c>
      <c r="H11" s="110">
        <v>8.0</v>
      </c>
      <c r="I11" s="111">
        <v>7.0</v>
      </c>
      <c r="J11" s="112">
        <v>11.0</v>
      </c>
      <c r="K11" s="113"/>
    </row>
    <row r="12">
      <c r="A12" s="106" t="s">
        <v>17</v>
      </c>
      <c r="B12" s="107">
        <v>4.0</v>
      </c>
      <c r="C12" s="107">
        <v>8.0</v>
      </c>
      <c r="D12" s="112">
        <v>13.0</v>
      </c>
      <c r="E12" s="108">
        <v>19.0</v>
      </c>
      <c r="F12" s="114">
        <v>79.0</v>
      </c>
      <c r="G12" s="110">
        <v>6.0</v>
      </c>
      <c r="H12" s="110">
        <v>6.0</v>
      </c>
      <c r="I12" s="111">
        <v>6.0</v>
      </c>
      <c r="J12" s="112">
        <v>10.0</v>
      </c>
      <c r="K12" s="113"/>
    </row>
    <row r="13">
      <c r="A13" s="106" t="s">
        <v>22</v>
      </c>
      <c r="B13" s="107">
        <v>2.0</v>
      </c>
      <c r="C13" s="108">
        <v>13.0</v>
      </c>
      <c r="D13" s="112">
        <v>12.0</v>
      </c>
      <c r="E13" s="112">
        <v>26.0</v>
      </c>
      <c r="F13" s="109">
        <v>90.0</v>
      </c>
      <c r="G13" s="110">
        <v>10.0</v>
      </c>
      <c r="H13" s="115">
        <v>13.0</v>
      </c>
      <c r="I13" s="110">
        <v>10.0</v>
      </c>
      <c r="J13" s="116">
        <v>15.0</v>
      </c>
      <c r="K13" s="113"/>
    </row>
    <row r="14">
      <c r="A14" s="106" t="s">
        <v>25</v>
      </c>
      <c r="B14" s="107">
        <v>5.0</v>
      </c>
      <c r="C14" s="107">
        <v>7.0</v>
      </c>
      <c r="D14" s="107">
        <v>5.0</v>
      </c>
      <c r="E14" s="108">
        <v>15.0</v>
      </c>
      <c r="F14" s="114">
        <v>79.0</v>
      </c>
      <c r="G14" s="111">
        <v>3.0</v>
      </c>
      <c r="H14" s="110">
        <v>9.0</v>
      </c>
      <c r="I14" s="111">
        <v>2.0</v>
      </c>
      <c r="J14" s="108">
        <v>7.0</v>
      </c>
      <c r="K14" s="113"/>
    </row>
    <row r="15">
      <c r="A15" s="106" t="s">
        <v>30</v>
      </c>
      <c r="B15" s="108">
        <v>8.0</v>
      </c>
      <c r="C15" s="107">
        <v>6.0</v>
      </c>
      <c r="D15" s="112">
        <v>12.0</v>
      </c>
      <c r="E15" s="117">
        <v>13.0</v>
      </c>
      <c r="F15" s="109">
        <v>89.0</v>
      </c>
      <c r="G15" s="111">
        <v>3.0</v>
      </c>
      <c r="H15" s="110">
        <v>9.0</v>
      </c>
      <c r="I15" s="111">
        <v>6.0</v>
      </c>
      <c r="J15" s="108">
        <v>7.0</v>
      </c>
      <c r="K15" s="113"/>
    </row>
    <row r="16">
      <c r="A16" s="106" t="s">
        <v>34</v>
      </c>
      <c r="B16" s="108">
        <v>9.0</v>
      </c>
      <c r="C16" s="108">
        <v>13.0</v>
      </c>
      <c r="D16" s="116">
        <v>17.0</v>
      </c>
      <c r="E16" s="112">
        <v>29.0</v>
      </c>
      <c r="F16" s="118">
        <v>107.0</v>
      </c>
      <c r="G16" s="115">
        <v>12.0</v>
      </c>
      <c r="H16" s="115">
        <v>12.0</v>
      </c>
      <c r="I16" s="110">
        <v>12.0</v>
      </c>
      <c r="J16" s="116">
        <v>13.0</v>
      </c>
      <c r="K16" s="113"/>
    </row>
    <row r="17">
      <c r="A17" s="106" t="s">
        <v>37</v>
      </c>
      <c r="B17" s="112">
        <v>11.0</v>
      </c>
      <c r="C17" s="108">
        <v>13.0</v>
      </c>
      <c r="D17" s="116">
        <v>17.0</v>
      </c>
      <c r="E17" s="112">
        <v>27.0</v>
      </c>
      <c r="F17" s="119">
        <v>112.0</v>
      </c>
      <c r="G17" s="115">
        <v>16.0</v>
      </c>
      <c r="H17" s="115">
        <v>13.0</v>
      </c>
      <c r="I17" s="120">
        <v>19.0</v>
      </c>
      <c r="J17" s="116">
        <v>15.0</v>
      </c>
      <c r="K17" s="113"/>
    </row>
    <row r="18">
      <c r="A18" s="106" t="s">
        <v>41</v>
      </c>
      <c r="B18" s="107">
        <v>3.0</v>
      </c>
      <c r="C18" s="121"/>
      <c r="D18" s="112">
        <v>12.0</v>
      </c>
      <c r="E18" s="108">
        <v>11.0</v>
      </c>
      <c r="F18" s="114">
        <v>78.0</v>
      </c>
      <c r="G18" s="122"/>
      <c r="H18" s="115">
        <v>12.0</v>
      </c>
      <c r="I18" s="107">
        <v>5.0</v>
      </c>
      <c r="J18" s="26"/>
      <c r="K18" s="123"/>
    </row>
    <row r="19">
      <c r="A19" s="106" t="s">
        <v>45</v>
      </c>
      <c r="B19" s="112">
        <v>15.0</v>
      </c>
      <c r="C19" s="112">
        <v>26.0</v>
      </c>
      <c r="D19" s="116">
        <v>19.0</v>
      </c>
      <c r="E19" s="116">
        <v>34.0</v>
      </c>
      <c r="F19" s="124">
        <v>136.0</v>
      </c>
      <c r="G19" s="122"/>
      <c r="H19" s="115">
        <v>15.0</v>
      </c>
      <c r="I19" s="125">
        <v>30.0</v>
      </c>
      <c r="J19" s="126">
        <v>16.0</v>
      </c>
      <c r="K19" s="113"/>
    </row>
    <row r="20">
      <c r="A20" s="106" t="s">
        <v>50</v>
      </c>
      <c r="B20" s="108">
        <v>8.0</v>
      </c>
      <c r="C20" s="108">
        <v>16.0</v>
      </c>
      <c r="D20" s="116">
        <v>17.0</v>
      </c>
      <c r="E20" s="108">
        <v>17.0</v>
      </c>
      <c r="F20" s="127">
        <v>93.0</v>
      </c>
      <c r="G20" s="108">
        <v>10.0</v>
      </c>
      <c r="H20" s="110">
        <v>8.0</v>
      </c>
      <c r="I20" s="110">
        <v>10.0</v>
      </c>
      <c r="J20" s="116">
        <v>13.0</v>
      </c>
      <c r="K20" s="113"/>
    </row>
    <row r="21">
      <c r="A21" s="106" t="s">
        <v>55</v>
      </c>
      <c r="B21" s="107">
        <v>4.0</v>
      </c>
      <c r="C21" s="121"/>
      <c r="D21" s="112">
        <v>14.0</v>
      </c>
      <c r="E21" s="128"/>
      <c r="F21" s="127">
        <v>93.0</v>
      </c>
      <c r="G21" s="110">
        <v>6.0</v>
      </c>
      <c r="H21" s="110">
        <v>10.0</v>
      </c>
      <c r="I21" s="110">
        <v>8.0</v>
      </c>
      <c r="J21" s="116">
        <v>12.0</v>
      </c>
      <c r="K21" s="113"/>
    </row>
    <row r="22">
      <c r="A22" s="106" t="s">
        <v>60</v>
      </c>
      <c r="B22" s="107">
        <v>4.0</v>
      </c>
      <c r="C22" s="108">
        <v>11.0</v>
      </c>
      <c r="D22" s="108">
        <v>7.0</v>
      </c>
      <c r="E22" s="108">
        <v>12.0</v>
      </c>
      <c r="F22" s="114">
        <v>72.0</v>
      </c>
      <c r="G22" s="107">
        <v>4.0</v>
      </c>
      <c r="H22" s="110">
        <v>7.0</v>
      </c>
      <c r="I22" s="111">
        <v>3.0</v>
      </c>
      <c r="J22" s="108">
        <v>8.0</v>
      </c>
      <c r="K22" s="113"/>
    </row>
    <row r="23">
      <c r="A23" s="106" t="s">
        <v>65</v>
      </c>
      <c r="B23" s="108">
        <v>10.0</v>
      </c>
      <c r="C23" s="107">
        <v>8.0</v>
      </c>
      <c r="D23" s="116">
        <v>17.0</v>
      </c>
      <c r="E23" s="116">
        <v>33.0</v>
      </c>
      <c r="F23" s="118">
        <v>100.0</v>
      </c>
      <c r="G23" s="115">
        <v>16.0</v>
      </c>
      <c r="H23" s="115">
        <v>15.0</v>
      </c>
      <c r="I23" s="110">
        <v>8.0</v>
      </c>
      <c r="J23" s="116">
        <v>12.0</v>
      </c>
      <c r="K23" s="113"/>
    </row>
    <row r="24">
      <c r="A24" s="106" t="s">
        <v>21</v>
      </c>
      <c r="B24" s="112">
        <v>12.0</v>
      </c>
      <c r="C24" s="112">
        <v>19.0</v>
      </c>
      <c r="D24" s="116">
        <v>19.0</v>
      </c>
      <c r="E24" s="112">
        <v>29.0</v>
      </c>
      <c r="F24" s="119">
        <v>114.0</v>
      </c>
      <c r="G24" s="116">
        <v>17.0</v>
      </c>
      <c r="H24" s="115">
        <v>16.0</v>
      </c>
      <c r="I24" s="120">
        <v>19.0</v>
      </c>
      <c r="J24" s="126">
        <v>16.0</v>
      </c>
      <c r="K24" s="113"/>
    </row>
    <row r="25">
      <c r="A25" s="106" t="s">
        <v>71</v>
      </c>
      <c r="B25" s="107">
        <v>4.0</v>
      </c>
      <c r="C25" s="107">
        <v>8.0</v>
      </c>
      <c r="D25" s="108">
        <v>10.0</v>
      </c>
      <c r="E25" s="129">
        <v>10.0</v>
      </c>
      <c r="F25" s="114">
        <v>74.0</v>
      </c>
      <c r="G25" s="110">
        <v>9.0</v>
      </c>
      <c r="H25" s="110">
        <v>6.0</v>
      </c>
      <c r="I25" s="110">
        <v>10.0</v>
      </c>
      <c r="J25" s="112">
        <v>11.0</v>
      </c>
      <c r="K25" s="113"/>
    </row>
    <row r="26">
      <c r="A26" s="106" t="s">
        <v>74</v>
      </c>
      <c r="B26" s="108">
        <v>7.0</v>
      </c>
      <c r="C26" s="108">
        <v>11.0</v>
      </c>
      <c r="D26" s="116">
        <v>18.0</v>
      </c>
      <c r="E26" s="112">
        <v>30.0</v>
      </c>
      <c r="F26" s="118">
        <v>101.0</v>
      </c>
      <c r="G26" s="115">
        <v>12.0</v>
      </c>
      <c r="H26" s="110">
        <v>9.0</v>
      </c>
      <c r="I26" s="110">
        <v>15.0</v>
      </c>
      <c r="J26" s="116">
        <v>13.0</v>
      </c>
      <c r="K26" s="123"/>
    </row>
    <row r="27" hidden="1">
      <c r="A27" s="106" t="s">
        <v>76</v>
      </c>
      <c r="B27" s="108">
        <v>10.0</v>
      </c>
      <c r="C27" s="108">
        <v>16.0</v>
      </c>
      <c r="D27" s="116">
        <v>17.0</v>
      </c>
      <c r="E27" s="112">
        <v>27.0</v>
      </c>
      <c r="F27" s="119">
        <v>113.0</v>
      </c>
      <c r="G27" s="122"/>
      <c r="H27" s="115">
        <v>15.0</v>
      </c>
      <c r="I27" s="120">
        <v>19.0</v>
      </c>
      <c r="J27" s="26"/>
      <c r="K27" s="113"/>
    </row>
    <row r="28">
      <c r="A28" s="106" t="s">
        <v>80</v>
      </c>
      <c r="B28" s="108">
        <v>6.0</v>
      </c>
      <c r="C28" s="108">
        <v>13.0</v>
      </c>
      <c r="D28" s="116">
        <v>16.0</v>
      </c>
      <c r="E28" s="112">
        <v>27.0</v>
      </c>
      <c r="F28" s="118">
        <v>101.0</v>
      </c>
      <c r="G28" s="110">
        <v>9.0</v>
      </c>
      <c r="H28" s="115">
        <v>12.0</v>
      </c>
      <c r="I28" s="110">
        <v>8.0</v>
      </c>
      <c r="J28" s="112">
        <v>11.0</v>
      </c>
      <c r="K28" s="113"/>
    </row>
    <row r="29">
      <c r="A29" s="106" t="s">
        <v>84</v>
      </c>
      <c r="B29" s="107">
        <v>5.0</v>
      </c>
      <c r="C29" s="108">
        <v>15.0</v>
      </c>
      <c r="D29" s="116">
        <v>16.0</v>
      </c>
      <c r="E29" s="116">
        <v>31.0</v>
      </c>
      <c r="F29" s="118">
        <v>107.0</v>
      </c>
      <c r="G29" s="115">
        <v>16.0</v>
      </c>
      <c r="H29" s="110">
        <v>9.0</v>
      </c>
      <c r="I29" s="120">
        <v>18.0</v>
      </c>
      <c r="J29" s="116">
        <v>14.0</v>
      </c>
      <c r="K29" s="113"/>
    </row>
    <row r="30">
      <c r="A30" s="106" t="s">
        <v>88</v>
      </c>
      <c r="B30" s="108">
        <v>9.0</v>
      </c>
      <c r="C30" s="108">
        <v>12.0</v>
      </c>
      <c r="D30" s="116">
        <v>16.0</v>
      </c>
      <c r="E30" s="112">
        <v>30.0</v>
      </c>
      <c r="F30" s="118">
        <v>101.0</v>
      </c>
      <c r="G30" s="110">
        <v>6.0</v>
      </c>
      <c r="H30" s="115">
        <v>12.0</v>
      </c>
      <c r="I30" s="110">
        <v>10.0</v>
      </c>
      <c r="J30" s="112">
        <v>11.0</v>
      </c>
      <c r="K30" s="123"/>
    </row>
    <row r="31">
      <c r="A31" s="106" t="s">
        <v>92</v>
      </c>
      <c r="B31" s="107">
        <v>4.0</v>
      </c>
      <c r="C31" s="112">
        <v>22.0</v>
      </c>
      <c r="D31" s="116">
        <v>16.0</v>
      </c>
      <c r="E31" s="112">
        <v>28.0</v>
      </c>
      <c r="F31" s="119">
        <v>118.0</v>
      </c>
      <c r="G31" s="115">
        <v>13.0</v>
      </c>
      <c r="H31" s="115">
        <v>16.0</v>
      </c>
      <c r="I31" s="120">
        <v>21.0</v>
      </c>
      <c r="J31" s="126">
        <v>16.0</v>
      </c>
      <c r="K31" s="113"/>
    </row>
    <row r="32">
      <c r="A32" s="106" t="s">
        <v>96</v>
      </c>
      <c r="B32" s="107">
        <v>5.0</v>
      </c>
      <c r="C32" s="107">
        <v>6.0</v>
      </c>
      <c r="D32" s="108">
        <v>6.0</v>
      </c>
      <c r="E32" s="129">
        <v>9.0</v>
      </c>
      <c r="F32" s="114">
        <v>79.0</v>
      </c>
      <c r="G32" s="122"/>
      <c r="H32" s="110">
        <v>6.0</v>
      </c>
      <c r="I32" s="111">
        <v>3.0</v>
      </c>
      <c r="J32" s="108">
        <v>6.0</v>
      </c>
      <c r="K32" s="130"/>
    </row>
    <row r="33">
      <c r="A33" s="106" t="s">
        <v>100</v>
      </c>
      <c r="B33" s="107">
        <v>3.0</v>
      </c>
      <c r="C33" s="108">
        <v>11.0</v>
      </c>
      <c r="D33" s="112">
        <v>14.0</v>
      </c>
      <c r="E33" s="112">
        <v>24.0</v>
      </c>
      <c r="F33" s="127">
        <v>91.0</v>
      </c>
      <c r="G33" s="110">
        <v>10.0</v>
      </c>
      <c r="H33" s="110">
        <v>9.0</v>
      </c>
      <c r="I33" s="108">
        <v>11.0</v>
      </c>
      <c r="J33" s="116">
        <v>12.0</v>
      </c>
      <c r="K33" s="130"/>
    </row>
    <row r="34">
      <c r="A34" s="131" t="s">
        <v>113</v>
      </c>
      <c r="B34" s="132">
        <f t="shared" ref="B34:J34" si="1">AVERAGE(B11:B33)</f>
        <v>6.565217391</v>
      </c>
      <c r="C34" s="132">
        <f t="shared" si="1"/>
        <v>12.42857143</v>
      </c>
      <c r="D34" s="132">
        <f t="shared" si="1"/>
        <v>13.73913043</v>
      </c>
      <c r="E34" s="132">
        <f t="shared" si="1"/>
        <v>22.36363636</v>
      </c>
      <c r="F34" s="132">
        <f t="shared" si="1"/>
        <v>96.04347826</v>
      </c>
      <c r="G34" s="132">
        <f t="shared" si="1"/>
        <v>9.789473684</v>
      </c>
      <c r="H34" s="132">
        <f t="shared" si="1"/>
        <v>10.73913043</v>
      </c>
      <c r="I34" s="132">
        <f t="shared" si="1"/>
        <v>11.30434783</v>
      </c>
      <c r="J34" s="132">
        <f t="shared" si="1"/>
        <v>11.85714286</v>
      </c>
    </row>
    <row r="35">
      <c r="A35" s="133"/>
      <c r="B35" s="87"/>
      <c r="C35" s="87"/>
      <c r="H35" s="88"/>
      <c r="I35" s="88"/>
    </row>
    <row r="36">
      <c r="A36" s="133" t="s">
        <v>163</v>
      </c>
      <c r="B36" s="87" t="s">
        <v>151</v>
      </c>
      <c r="H36" s="88"/>
      <c r="I36" s="88"/>
      <c r="J36" s="98" t="s">
        <v>155</v>
      </c>
    </row>
    <row r="37">
      <c r="A37" s="134"/>
      <c r="B37" s="101" t="s">
        <v>156</v>
      </c>
      <c r="C37" s="101" t="s">
        <v>157</v>
      </c>
      <c r="D37" s="102" t="s">
        <v>158</v>
      </c>
      <c r="E37" s="103" t="s">
        <v>159</v>
      </c>
      <c r="F37" s="104" t="s">
        <v>137</v>
      </c>
      <c r="G37" s="102" t="s">
        <v>138</v>
      </c>
      <c r="H37" s="101" t="s">
        <v>156</v>
      </c>
      <c r="I37" s="101" t="s">
        <v>161</v>
      </c>
      <c r="J37" s="103" t="s">
        <v>164</v>
      </c>
    </row>
    <row r="38">
      <c r="A38" s="134" t="s">
        <v>165</v>
      </c>
      <c r="B38" s="135" t="s">
        <v>166</v>
      </c>
      <c r="C38" s="136"/>
      <c r="D38" s="137"/>
      <c r="E38" s="138">
        <v>16.0</v>
      </c>
      <c r="F38" s="139">
        <v>97.0</v>
      </c>
      <c r="G38" s="138">
        <v>7.0</v>
      </c>
      <c r="H38" s="140">
        <v>12.0</v>
      </c>
      <c r="I38" s="140">
        <v>8.0</v>
      </c>
      <c r="J38" s="141">
        <v>10.0</v>
      </c>
    </row>
    <row r="39">
      <c r="A39" s="134" t="s">
        <v>167</v>
      </c>
      <c r="B39" s="135">
        <v>8.0</v>
      </c>
      <c r="C39" s="135">
        <v>13.0</v>
      </c>
      <c r="D39" s="138">
        <v>9.0</v>
      </c>
      <c r="E39" s="138">
        <v>21.0</v>
      </c>
      <c r="F39" s="139">
        <v>105.0</v>
      </c>
      <c r="G39" s="138">
        <v>11.0</v>
      </c>
      <c r="H39" s="140">
        <v>9.0</v>
      </c>
      <c r="I39" s="140">
        <v>12.0</v>
      </c>
      <c r="J39" s="141">
        <v>14.0</v>
      </c>
    </row>
    <row r="40">
      <c r="A40" s="134" t="s">
        <v>168</v>
      </c>
      <c r="B40" s="135">
        <v>12.0</v>
      </c>
      <c r="C40" s="135">
        <v>16.0</v>
      </c>
      <c r="D40" s="142"/>
      <c r="E40" s="138">
        <v>31.0</v>
      </c>
      <c r="F40" s="139">
        <v>109.0</v>
      </c>
      <c r="G40" s="138">
        <v>15.0</v>
      </c>
      <c r="H40" s="140">
        <v>12.0</v>
      </c>
      <c r="I40" s="140">
        <v>13.0</v>
      </c>
      <c r="J40" s="141">
        <v>14.0</v>
      </c>
    </row>
    <row r="41">
      <c r="A41" s="134" t="s">
        <v>169</v>
      </c>
      <c r="B41" s="135">
        <v>4.0</v>
      </c>
      <c r="C41" s="135">
        <v>8.0</v>
      </c>
      <c r="D41" s="138">
        <v>15.0</v>
      </c>
      <c r="E41" s="138">
        <v>11.0</v>
      </c>
      <c r="F41" s="139">
        <v>91.0</v>
      </c>
      <c r="G41" s="138">
        <v>7.0</v>
      </c>
      <c r="H41" s="140">
        <v>11.0</v>
      </c>
      <c r="I41" s="140">
        <v>12.0</v>
      </c>
      <c r="J41" s="141">
        <v>19.0</v>
      </c>
    </row>
    <row r="42">
      <c r="A42" s="134" t="s">
        <v>170</v>
      </c>
      <c r="B42" s="135">
        <v>12.0</v>
      </c>
      <c r="C42" s="135">
        <v>14.0</v>
      </c>
      <c r="D42" s="138">
        <v>17.0</v>
      </c>
      <c r="E42" s="138">
        <v>23.0</v>
      </c>
      <c r="F42" s="139">
        <v>110.0</v>
      </c>
      <c r="G42" s="138">
        <v>14.0</v>
      </c>
      <c r="H42" s="140">
        <v>19.0</v>
      </c>
      <c r="I42" s="140">
        <v>18.0</v>
      </c>
      <c r="J42" s="141">
        <v>16.0</v>
      </c>
    </row>
    <row r="43">
      <c r="A43" s="134" t="s">
        <v>171</v>
      </c>
      <c r="B43" s="135">
        <v>3.0</v>
      </c>
      <c r="C43" s="135">
        <v>9.0</v>
      </c>
      <c r="D43" s="138">
        <v>13.0</v>
      </c>
      <c r="E43" s="138">
        <v>18.0</v>
      </c>
      <c r="F43" s="139">
        <v>91.0</v>
      </c>
      <c r="G43" s="138">
        <v>10.0</v>
      </c>
      <c r="H43" s="140">
        <v>10.0</v>
      </c>
      <c r="I43" s="140">
        <v>13.0</v>
      </c>
      <c r="J43" s="141">
        <v>11.0</v>
      </c>
    </row>
    <row r="44" ht="16.5" customHeight="1">
      <c r="A44" s="134" t="s">
        <v>172</v>
      </c>
      <c r="B44" s="135">
        <v>13.0</v>
      </c>
      <c r="C44" s="135">
        <v>19.0</v>
      </c>
      <c r="D44" s="138">
        <v>18.0</v>
      </c>
      <c r="E44" s="138">
        <v>32.0</v>
      </c>
      <c r="F44" s="139">
        <v>122.0</v>
      </c>
      <c r="G44" s="138">
        <v>17.0</v>
      </c>
      <c r="H44" s="140">
        <v>16.0</v>
      </c>
      <c r="I44" s="140">
        <v>21.0</v>
      </c>
      <c r="J44" s="141">
        <v>19.0</v>
      </c>
    </row>
    <row r="45">
      <c r="A45" s="134" t="s">
        <v>173</v>
      </c>
      <c r="B45" s="135">
        <v>6.0</v>
      </c>
      <c r="C45" s="135">
        <v>6.0</v>
      </c>
      <c r="D45" s="138">
        <v>8.0</v>
      </c>
      <c r="E45" s="138">
        <v>11.0</v>
      </c>
      <c r="F45" s="139">
        <v>81.0</v>
      </c>
      <c r="G45" s="138">
        <v>3.0</v>
      </c>
      <c r="H45" s="140">
        <v>8.0</v>
      </c>
      <c r="I45" s="140">
        <v>3.0</v>
      </c>
      <c r="J45" s="141">
        <v>6.0</v>
      </c>
    </row>
    <row r="46">
      <c r="A46" s="134" t="s">
        <v>174</v>
      </c>
      <c r="B46" s="135">
        <v>8.0</v>
      </c>
      <c r="C46" s="135">
        <v>8.0</v>
      </c>
      <c r="D46" s="138">
        <v>15.0</v>
      </c>
      <c r="E46" s="138">
        <v>14.0</v>
      </c>
      <c r="F46" s="139">
        <v>99.0</v>
      </c>
      <c r="G46" s="138">
        <v>16.0</v>
      </c>
      <c r="H46" s="140">
        <v>10.0</v>
      </c>
      <c r="I46" s="140">
        <v>14.0</v>
      </c>
    </row>
    <row r="47">
      <c r="A47" s="134" t="s">
        <v>175</v>
      </c>
      <c r="B47" s="135">
        <v>4.0</v>
      </c>
      <c r="C47" s="135">
        <v>5.0</v>
      </c>
      <c r="D47" s="143">
        <v>3.0</v>
      </c>
      <c r="E47" s="138">
        <v>11.0</v>
      </c>
      <c r="F47" s="139">
        <v>84.0</v>
      </c>
      <c r="G47" s="144"/>
      <c r="H47" s="140">
        <v>8.0</v>
      </c>
      <c r="I47" s="140">
        <v>4.0</v>
      </c>
      <c r="J47" s="141">
        <v>9.0</v>
      </c>
    </row>
    <row r="48">
      <c r="A48" s="134" t="s">
        <v>176</v>
      </c>
      <c r="B48" s="135">
        <v>3.0</v>
      </c>
      <c r="C48" s="135">
        <v>5.0</v>
      </c>
      <c r="D48" s="143">
        <v>2.0</v>
      </c>
      <c r="E48" s="138">
        <v>10.0</v>
      </c>
      <c r="F48" s="139">
        <v>74.0</v>
      </c>
      <c r="G48" s="138">
        <v>2.0</v>
      </c>
      <c r="H48" s="140">
        <v>7.0</v>
      </c>
      <c r="I48" s="140">
        <v>7.0</v>
      </c>
    </row>
    <row r="49">
      <c r="A49" s="134" t="s">
        <v>177</v>
      </c>
      <c r="B49" s="135">
        <v>12.0</v>
      </c>
      <c r="C49" s="135">
        <v>14.0</v>
      </c>
      <c r="D49" s="142"/>
      <c r="E49" s="138">
        <v>19.0</v>
      </c>
      <c r="F49" s="139">
        <v>97.0</v>
      </c>
      <c r="G49" s="144"/>
      <c r="H49" s="140">
        <v>7.0</v>
      </c>
      <c r="I49" s="140">
        <v>12.0</v>
      </c>
      <c r="J49" s="141">
        <v>16.0</v>
      </c>
    </row>
    <row r="50">
      <c r="A50" s="134" t="s">
        <v>178</v>
      </c>
      <c r="B50" s="135">
        <v>4.0</v>
      </c>
      <c r="C50" s="135">
        <v>9.0</v>
      </c>
      <c r="D50" s="142"/>
      <c r="E50" s="138">
        <v>16.0</v>
      </c>
      <c r="F50" s="139">
        <v>99.0</v>
      </c>
      <c r="G50" s="138">
        <v>13.0</v>
      </c>
      <c r="H50" s="140">
        <v>7.0</v>
      </c>
      <c r="I50" s="140">
        <v>10.0</v>
      </c>
      <c r="J50" s="141">
        <v>13.0</v>
      </c>
    </row>
    <row r="51">
      <c r="A51" s="134" t="s">
        <v>179</v>
      </c>
      <c r="B51" s="135">
        <v>4.0</v>
      </c>
      <c r="C51" s="135">
        <v>8.0</v>
      </c>
      <c r="D51" s="138">
        <v>11.0</v>
      </c>
      <c r="E51" s="138">
        <v>12.0</v>
      </c>
      <c r="F51" s="139">
        <v>91.0</v>
      </c>
      <c r="G51" s="138">
        <v>6.0</v>
      </c>
      <c r="H51" s="140">
        <v>7.0</v>
      </c>
      <c r="I51" s="140">
        <v>6.0</v>
      </c>
      <c r="J51" s="141">
        <v>12.0</v>
      </c>
    </row>
    <row r="52">
      <c r="A52" s="134" t="s">
        <v>180</v>
      </c>
      <c r="B52" s="135">
        <v>7.0</v>
      </c>
      <c r="C52" s="135">
        <v>10.0</v>
      </c>
      <c r="D52" s="138">
        <v>12.0</v>
      </c>
      <c r="E52" s="138">
        <v>14.0</v>
      </c>
      <c r="F52" s="139">
        <v>96.0</v>
      </c>
      <c r="G52" s="138">
        <v>10.0</v>
      </c>
      <c r="H52" s="140">
        <v>10.0</v>
      </c>
      <c r="I52" s="140">
        <v>9.0</v>
      </c>
      <c r="J52" s="141">
        <v>14.0</v>
      </c>
    </row>
    <row r="53">
      <c r="A53" s="134" t="s">
        <v>181</v>
      </c>
      <c r="B53" s="135">
        <v>5.0</v>
      </c>
      <c r="C53" s="135">
        <v>13.0</v>
      </c>
      <c r="D53" s="138">
        <v>12.0</v>
      </c>
      <c r="E53" s="138">
        <v>22.0</v>
      </c>
      <c r="F53" s="139">
        <v>104.0</v>
      </c>
      <c r="G53" s="138">
        <v>15.0</v>
      </c>
      <c r="H53" s="140">
        <v>14.0</v>
      </c>
      <c r="I53" s="140">
        <v>5.0</v>
      </c>
      <c r="J53" s="141">
        <v>14.0</v>
      </c>
    </row>
    <row r="54">
      <c r="A54" s="134" t="s">
        <v>182</v>
      </c>
      <c r="B54" s="135">
        <v>3.0</v>
      </c>
      <c r="C54" s="135">
        <v>6.0</v>
      </c>
      <c r="D54" s="138">
        <v>12.0</v>
      </c>
      <c r="E54" s="138">
        <v>12.0</v>
      </c>
      <c r="F54" s="139">
        <v>104.0</v>
      </c>
      <c r="G54" s="138">
        <v>11.0</v>
      </c>
      <c r="H54" s="140">
        <v>4.0</v>
      </c>
      <c r="I54" s="140">
        <v>7.0</v>
      </c>
      <c r="J54" s="141">
        <v>11.0</v>
      </c>
    </row>
    <row r="55">
      <c r="A55" s="134" t="s">
        <v>183</v>
      </c>
      <c r="B55" s="135">
        <v>9.0</v>
      </c>
      <c r="C55" s="135">
        <v>17.0</v>
      </c>
      <c r="D55" s="138">
        <v>18.0</v>
      </c>
      <c r="E55" s="138">
        <v>28.0</v>
      </c>
      <c r="F55" s="145"/>
      <c r="G55" s="138">
        <v>17.0</v>
      </c>
      <c r="H55" s="140">
        <v>16.0</v>
      </c>
      <c r="I55" s="140">
        <v>18.0</v>
      </c>
      <c r="J55" s="141">
        <v>15.0</v>
      </c>
    </row>
    <row r="56">
      <c r="A56" s="134" t="s">
        <v>184</v>
      </c>
      <c r="B56" s="135">
        <v>9.0</v>
      </c>
      <c r="C56" s="135">
        <v>14.0</v>
      </c>
      <c r="D56" s="138">
        <v>17.0</v>
      </c>
      <c r="E56" s="138">
        <v>23.0</v>
      </c>
      <c r="F56" s="139">
        <v>110.0</v>
      </c>
      <c r="G56" s="138">
        <v>17.0</v>
      </c>
      <c r="H56" s="140">
        <v>11.0</v>
      </c>
      <c r="I56" s="140">
        <v>13.0</v>
      </c>
      <c r="J56" s="141">
        <v>14.0</v>
      </c>
    </row>
    <row r="57">
      <c r="A57" s="134" t="s">
        <v>185</v>
      </c>
      <c r="B57" s="135">
        <v>15.0</v>
      </c>
      <c r="C57" s="135">
        <v>21.0</v>
      </c>
      <c r="D57" s="138">
        <v>14.0</v>
      </c>
      <c r="E57" s="138">
        <v>19.0</v>
      </c>
      <c r="F57" s="139">
        <v>98.0</v>
      </c>
      <c r="G57" s="138">
        <v>10.0</v>
      </c>
      <c r="H57" s="140">
        <v>9.0</v>
      </c>
      <c r="I57" s="140">
        <v>9.0</v>
      </c>
      <c r="J57" s="141">
        <v>18.0</v>
      </c>
    </row>
    <row r="58">
      <c r="A58" s="134" t="s">
        <v>186</v>
      </c>
      <c r="B58" s="135">
        <v>7.0</v>
      </c>
      <c r="C58" s="135">
        <v>5.0</v>
      </c>
      <c r="D58" s="138">
        <v>5.0</v>
      </c>
      <c r="E58" s="138">
        <v>11.0</v>
      </c>
      <c r="F58" s="139">
        <v>72.0</v>
      </c>
      <c r="G58" s="138">
        <v>2.0</v>
      </c>
      <c r="H58" s="140">
        <v>6.0</v>
      </c>
      <c r="I58" s="140">
        <v>3.0</v>
      </c>
      <c r="J58" s="141">
        <v>5.0</v>
      </c>
    </row>
    <row r="59">
      <c r="A59" s="134" t="s">
        <v>187</v>
      </c>
      <c r="B59" s="135">
        <v>17.0</v>
      </c>
      <c r="C59" s="135">
        <v>21.0</v>
      </c>
      <c r="D59" s="138">
        <v>18.0</v>
      </c>
      <c r="E59" s="138">
        <v>28.0</v>
      </c>
      <c r="F59" s="139">
        <v>115.0</v>
      </c>
      <c r="G59" s="138">
        <v>20.0</v>
      </c>
      <c r="H59" s="140">
        <v>18.0</v>
      </c>
      <c r="I59" s="140">
        <v>15.0</v>
      </c>
      <c r="J59" s="141">
        <v>19.0</v>
      </c>
    </row>
    <row r="60">
      <c r="A60" s="134" t="s">
        <v>188</v>
      </c>
      <c r="B60" s="135">
        <v>16.0</v>
      </c>
      <c r="C60" s="135">
        <v>13.0</v>
      </c>
      <c r="D60" s="138">
        <v>15.0</v>
      </c>
      <c r="E60" s="138">
        <v>33.0</v>
      </c>
      <c r="F60" s="139">
        <v>104.0</v>
      </c>
      <c r="G60" s="138">
        <v>16.0</v>
      </c>
      <c r="H60" s="140">
        <v>17.0</v>
      </c>
      <c r="I60" s="140">
        <v>12.0</v>
      </c>
      <c r="J60" s="141">
        <v>12.0</v>
      </c>
    </row>
    <row r="61">
      <c r="A61" s="134" t="s">
        <v>189</v>
      </c>
      <c r="B61" s="135">
        <v>15.0</v>
      </c>
      <c r="C61" s="135">
        <v>19.0</v>
      </c>
      <c r="D61" s="138">
        <v>18.0</v>
      </c>
      <c r="E61" s="138">
        <v>32.0</v>
      </c>
      <c r="F61" s="139">
        <v>113.0</v>
      </c>
      <c r="G61" s="138">
        <v>14.0</v>
      </c>
      <c r="H61" s="140">
        <v>16.0</v>
      </c>
      <c r="I61" s="140">
        <v>22.0</v>
      </c>
      <c r="J61" s="141">
        <v>18.0</v>
      </c>
    </row>
    <row r="62">
      <c r="A62" s="146" t="s">
        <v>190</v>
      </c>
      <c r="B62" s="140"/>
      <c r="C62" s="140"/>
      <c r="D62" s="141"/>
      <c r="E62" s="141">
        <v>17.0</v>
      </c>
      <c r="F62" s="139">
        <v>97.0</v>
      </c>
      <c r="G62" s="141">
        <v>7.0</v>
      </c>
      <c r="H62" s="140">
        <v>15.0</v>
      </c>
      <c r="I62" s="140">
        <v>15.0</v>
      </c>
    </row>
    <row r="63">
      <c r="A63" s="147" t="s">
        <v>113</v>
      </c>
      <c r="B63" s="148">
        <f t="shared" ref="B63:D63" si="2">AVERAGE(B38:B61)</f>
        <v>8.52173913</v>
      </c>
      <c r="C63" s="148">
        <f t="shared" si="2"/>
        <v>11.86956522</v>
      </c>
      <c r="D63" s="148">
        <f t="shared" si="2"/>
        <v>12.6</v>
      </c>
      <c r="E63" s="148">
        <f t="shared" ref="E63:I63" si="3">AVERAGE(E38:E62)</f>
        <v>19.36</v>
      </c>
      <c r="F63" s="148">
        <f t="shared" si="3"/>
        <v>98.45833333</v>
      </c>
      <c r="G63" s="148">
        <f t="shared" si="3"/>
        <v>11.30434783</v>
      </c>
      <c r="H63" s="148">
        <f t="shared" si="3"/>
        <v>11.16</v>
      </c>
      <c r="I63" s="148">
        <f t="shared" si="3"/>
        <v>11.24</v>
      </c>
    </row>
    <row r="64">
      <c r="A64" s="133"/>
      <c r="B64" s="87"/>
      <c r="C64" s="87"/>
      <c r="H64" s="88"/>
      <c r="I64" s="88"/>
    </row>
    <row r="65">
      <c r="A65" s="133"/>
      <c r="B65" s="149" t="s">
        <v>151</v>
      </c>
      <c r="C65" s="150"/>
      <c r="D65" s="151"/>
      <c r="E65" s="151"/>
      <c r="F65" s="152" t="s">
        <v>153</v>
      </c>
      <c r="G65" s="153" t="s">
        <v>154</v>
      </c>
      <c r="H65" s="154" t="s">
        <v>191</v>
      </c>
      <c r="I65" s="150"/>
    </row>
    <row r="66">
      <c r="A66" s="133" t="s">
        <v>192</v>
      </c>
      <c r="B66" s="155" t="s">
        <v>156</v>
      </c>
      <c r="C66" s="155" t="s">
        <v>157</v>
      </c>
      <c r="D66" s="156" t="s">
        <v>158</v>
      </c>
      <c r="E66" s="157" t="s">
        <v>159</v>
      </c>
      <c r="F66" s="158" t="s">
        <v>193</v>
      </c>
      <c r="G66" s="156" t="s">
        <v>194</v>
      </c>
      <c r="H66" s="155" t="s">
        <v>156</v>
      </c>
      <c r="I66" s="155" t="s">
        <v>161</v>
      </c>
    </row>
    <row r="67">
      <c r="A67" s="159" t="s">
        <v>11</v>
      </c>
      <c r="B67" s="160">
        <v>5.0</v>
      </c>
      <c r="C67" s="160">
        <v>10.0</v>
      </c>
      <c r="D67" s="160">
        <v>11.0</v>
      </c>
      <c r="E67" s="160">
        <v>20.0</v>
      </c>
      <c r="F67" s="161">
        <v>95.0</v>
      </c>
      <c r="G67" s="137"/>
      <c r="H67" s="162">
        <v>8.0</v>
      </c>
      <c r="I67" s="162">
        <v>8.0</v>
      </c>
    </row>
    <row r="68">
      <c r="A68" s="128" t="s">
        <v>18</v>
      </c>
      <c r="B68" s="160">
        <v>12.0</v>
      </c>
      <c r="C68" s="160">
        <v>18.0</v>
      </c>
      <c r="D68" s="160">
        <v>18.0</v>
      </c>
      <c r="E68" s="160">
        <v>32.0</v>
      </c>
      <c r="F68" s="163">
        <v>110.0</v>
      </c>
      <c r="G68" s="137"/>
      <c r="H68" s="164">
        <v>15.0</v>
      </c>
      <c r="I68" s="164">
        <v>22.0</v>
      </c>
    </row>
    <row r="69">
      <c r="A69" s="128" t="s">
        <v>23</v>
      </c>
      <c r="B69" s="160">
        <v>8.0</v>
      </c>
      <c r="C69" s="160">
        <v>8.0</v>
      </c>
      <c r="D69" s="160">
        <v>4.0</v>
      </c>
      <c r="E69" s="160">
        <v>19.0</v>
      </c>
      <c r="F69" s="165">
        <v>83.0</v>
      </c>
      <c r="G69" s="137"/>
      <c r="H69" s="162">
        <v>10.0</v>
      </c>
      <c r="I69" s="166">
        <v>7.0</v>
      </c>
    </row>
    <row r="70">
      <c r="A70" s="128" t="s">
        <v>26</v>
      </c>
      <c r="B70" s="160">
        <v>4.0</v>
      </c>
      <c r="C70" s="160">
        <v>13.0</v>
      </c>
      <c r="D70" s="160">
        <v>11.0</v>
      </c>
      <c r="E70" s="160">
        <v>16.0</v>
      </c>
      <c r="F70" s="165">
        <v>86.0</v>
      </c>
      <c r="G70" s="137"/>
      <c r="H70" s="162">
        <v>7.0</v>
      </c>
      <c r="I70" s="166">
        <v>6.0</v>
      </c>
    </row>
    <row r="71">
      <c r="A71" s="159" t="s">
        <v>31</v>
      </c>
      <c r="B71" s="160">
        <v>9.0</v>
      </c>
      <c r="C71" s="160">
        <v>21.0</v>
      </c>
      <c r="D71" s="160">
        <v>16.0</v>
      </c>
      <c r="E71" s="160">
        <v>31.0</v>
      </c>
      <c r="F71" s="163">
        <v>104.0</v>
      </c>
      <c r="G71" s="137"/>
      <c r="H71" s="164">
        <v>14.0</v>
      </c>
      <c r="I71" s="164">
        <v>19.0</v>
      </c>
    </row>
    <row r="72">
      <c r="A72" s="159" t="s">
        <v>35</v>
      </c>
      <c r="B72" s="160">
        <v>4.0</v>
      </c>
      <c r="C72" s="160">
        <v>8.0</v>
      </c>
      <c r="D72" s="160">
        <v>12.0</v>
      </c>
      <c r="E72" s="128"/>
      <c r="F72" s="165">
        <v>90.0</v>
      </c>
      <c r="G72" s="137"/>
      <c r="H72" s="162">
        <v>10.0</v>
      </c>
      <c r="I72" s="162">
        <v>10.0</v>
      </c>
    </row>
    <row r="73">
      <c r="A73" s="128" t="s">
        <v>38</v>
      </c>
      <c r="B73" s="160">
        <v>4.0</v>
      </c>
      <c r="C73" s="121"/>
      <c r="D73" s="121"/>
      <c r="E73" s="160">
        <v>13.0</v>
      </c>
      <c r="F73" s="165">
        <v>85.0</v>
      </c>
      <c r="G73" s="137"/>
      <c r="H73" s="162">
        <v>9.0</v>
      </c>
      <c r="I73" s="166">
        <v>4.0</v>
      </c>
    </row>
    <row r="74">
      <c r="A74" s="128" t="s">
        <v>42</v>
      </c>
      <c r="B74" s="160">
        <v>7.0</v>
      </c>
      <c r="C74" s="121"/>
      <c r="D74" s="160">
        <v>17.0</v>
      </c>
      <c r="E74" s="160">
        <v>17.0</v>
      </c>
      <c r="F74" s="163">
        <v>105.0</v>
      </c>
      <c r="G74" s="137"/>
      <c r="H74" s="162">
        <v>8.0</v>
      </c>
      <c r="I74" s="162">
        <v>13.0</v>
      </c>
    </row>
    <row r="75">
      <c r="A75" s="159" t="s">
        <v>46</v>
      </c>
      <c r="B75" s="160">
        <v>11.0</v>
      </c>
      <c r="C75" s="160">
        <v>8.0</v>
      </c>
      <c r="D75" s="160">
        <v>15.0</v>
      </c>
      <c r="E75" s="160">
        <v>13.0</v>
      </c>
      <c r="F75" s="165">
        <v>86.0</v>
      </c>
      <c r="G75" s="137"/>
      <c r="H75" s="162">
        <v>8.0</v>
      </c>
      <c r="I75" s="166">
        <v>7.0</v>
      </c>
    </row>
    <row r="76">
      <c r="A76" s="128" t="s">
        <v>51</v>
      </c>
      <c r="B76" s="160">
        <v>10.0</v>
      </c>
      <c r="C76" s="160">
        <v>14.0</v>
      </c>
      <c r="D76" s="160">
        <v>18.0</v>
      </c>
      <c r="E76" s="160">
        <v>27.0</v>
      </c>
      <c r="F76" s="167">
        <v>111.0</v>
      </c>
      <c r="G76" s="137"/>
      <c r="H76" s="162">
        <v>9.0</v>
      </c>
      <c r="I76" s="162">
        <v>9.0</v>
      </c>
    </row>
    <row r="77">
      <c r="A77" s="159" t="s">
        <v>56</v>
      </c>
      <c r="B77" s="160">
        <v>6.0</v>
      </c>
      <c r="C77" s="160">
        <v>7.0</v>
      </c>
      <c r="D77" s="160">
        <v>14.0</v>
      </c>
      <c r="E77" s="128"/>
      <c r="F77" s="165">
        <v>86.0</v>
      </c>
      <c r="G77" s="137"/>
      <c r="H77" s="162">
        <v>9.0</v>
      </c>
      <c r="I77" s="162">
        <v>9.0</v>
      </c>
    </row>
    <row r="78">
      <c r="A78" s="134" t="s">
        <v>195</v>
      </c>
      <c r="B78" s="160">
        <v>4.0</v>
      </c>
      <c r="C78" s="160">
        <v>9.0</v>
      </c>
      <c r="D78" s="160">
        <v>9.0</v>
      </c>
      <c r="E78" s="160">
        <v>10.0</v>
      </c>
      <c r="F78" s="165">
        <v>82.0</v>
      </c>
      <c r="G78" s="137"/>
      <c r="H78" s="162">
        <v>6.0</v>
      </c>
      <c r="I78" s="166">
        <v>2.0</v>
      </c>
    </row>
    <row r="79">
      <c r="A79" s="159" t="s">
        <v>66</v>
      </c>
      <c r="B79" s="160">
        <v>9.0</v>
      </c>
      <c r="C79" s="160">
        <v>13.0</v>
      </c>
      <c r="D79" s="160">
        <v>18.0</v>
      </c>
      <c r="E79" s="160">
        <v>24.0</v>
      </c>
      <c r="F79" s="165">
        <v>87.0</v>
      </c>
      <c r="G79" s="137"/>
      <c r="H79" s="164">
        <v>13.0</v>
      </c>
      <c r="I79" s="162">
        <v>14.0</v>
      </c>
    </row>
    <row r="80">
      <c r="A80" s="159" t="s">
        <v>69</v>
      </c>
      <c r="B80" s="160">
        <v>5.0</v>
      </c>
      <c r="C80" s="160">
        <v>12.0</v>
      </c>
      <c r="D80" s="160">
        <v>14.0</v>
      </c>
      <c r="E80" s="160">
        <v>17.0</v>
      </c>
      <c r="F80" s="161">
        <v>93.0</v>
      </c>
      <c r="G80" s="137"/>
      <c r="H80" s="162">
        <v>9.0</v>
      </c>
      <c r="I80" s="162">
        <v>12.0</v>
      </c>
    </row>
    <row r="81">
      <c r="A81" s="128" t="s">
        <v>72</v>
      </c>
      <c r="B81" s="160">
        <v>7.0</v>
      </c>
      <c r="C81" s="160">
        <v>7.0</v>
      </c>
      <c r="D81" s="160">
        <v>8.0</v>
      </c>
      <c r="E81" s="128"/>
      <c r="F81" s="165">
        <v>89.0</v>
      </c>
      <c r="G81" s="137"/>
      <c r="H81" s="164">
        <v>11.0</v>
      </c>
      <c r="I81" s="166">
        <v>5.0</v>
      </c>
    </row>
    <row r="82">
      <c r="A82" s="128" t="s">
        <v>25</v>
      </c>
      <c r="B82" s="160">
        <v>5.0</v>
      </c>
      <c r="C82" s="160">
        <v>11.0</v>
      </c>
      <c r="D82" s="160">
        <v>12.0</v>
      </c>
      <c r="E82" s="160">
        <v>18.0</v>
      </c>
      <c r="F82" s="161">
        <v>95.0</v>
      </c>
      <c r="G82" s="137"/>
      <c r="H82" s="162">
        <v>8.0</v>
      </c>
      <c r="I82" s="166">
        <v>6.0</v>
      </c>
    </row>
    <row r="83">
      <c r="A83" s="128" t="s">
        <v>77</v>
      </c>
      <c r="B83" s="160">
        <v>2.0</v>
      </c>
      <c r="C83" s="160">
        <v>11.0</v>
      </c>
      <c r="D83" s="160">
        <v>15.0</v>
      </c>
      <c r="E83" s="160">
        <v>18.0</v>
      </c>
      <c r="F83" s="165">
        <v>86.0</v>
      </c>
      <c r="G83" s="137"/>
      <c r="H83" s="162">
        <v>9.0</v>
      </c>
      <c r="I83" s="166">
        <v>6.0</v>
      </c>
    </row>
    <row r="84">
      <c r="A84" s="159" t="s">
        <v>81</v>
      </c>
      <c r="B84" s="160">
        <v>10.0</v>
      </c>
      <c r="C84" s="160">
        <v>17.0</v>
      </c>
      <c r="D84" s="160">
        <v>16.0</v>
      </c>
      <c r="E84" s="128"/>
      <c r="F84" s="163">
        <v>106.0</v>
      </c>
      <c r="G84" s="137"/>
      <c r="H84" s="164">
        <v>12.0</v>
      </c>
      <c r="I84" s="164">
        <v>19.0</v>
      </c>
    </row>
    <row r="85">
      <c r="A85" s="128" t="s">
        <v>85</v>
      </c>
      <c r="B85" s="160">
        <v>3.0</v>
      </c>
      <c r="C85" s="121"/>
      <c r="D85" s="121"/>
      <c r="E85" s="128"/>
      <c r="F85" s="165">
        <v>86.0</v>
      </c>
      <c r="G85" s="137"/>
      <c r="H85" s="162">
        <v>6.0</v>
      </c>
      <c r="I85" s="166">
        <v>3.0</v>
      </c>
    </row>
    <row r="86">
      <c r="A86" s="128" t="s">
        <v>89</v>
      </c>
      <c r="B86" s="160">
        <v>5.0</v>
      </c>
      <c r="C86" s="160">
        <v>9.0</v>
      </c>
      <c r="D86" s="160">
        <v>8.0</v>
      </c>
      <c r="E86" s="160">
        <v>16.0</v>
      </c>
      <c r="F86" s="161">
        <v>93.0</v>
      </c>
      <c r="G86" s="137"/>
      <c r="H86" s="162">
        <v>9.0</v>
      </c>
      <c r="I86" s="166">
        <v>2.0</v>
      </c>
    </row>
    <row r="87">
      <c r="A87" s="159" t="s">
        <v>93</v>
      </c>
      <c r="B87" s="160">
        <v>6.0</v>
      </c>
      <c r="C87" s="160">
        <v>13.0</v>
      </c>
      <c r="D87" s="160">
        <v>17.0</v>
      </c>
      <c r="E87" s="160">
        <v>30.0</v>
      </c>
      <c r="F87" s="161">
        <v>98.0</v>
      </c>
      <c r="G87" s="137"/>
      <c r="H87" s="164">
        <v>15.0</v>
      </c>
      <c r="I87" s="164">
        <v>16.0</v>
      </c>
    </row>
    <row r="88">
      <c r="A88" s="128" t="s">
        <v>97</v>
      </c>
      <c r="B88" s="160">
        <v>5.0</v>
      </c>
      <c r="C88" s="160">
        <v>8.0</v>
      </c>
      <c r="D88" s="160">
        <v>12.0</v>
      </c>
      <c r="E88" s="128"/>
      <c r="F88" s="163">
        <v>100.0</v>
      </c>
      <c r="G88" s="137"/>
      <c r="H88" s="162">
        <v>9.0</v>
      </c>
      <c r="I88" s="162">
        <v>9.0</v>
      </c>
    </row>
    <row r="89">
      <c r="A89" s="159" t="s">
        <v>101</v>
      </c>
      <c r="B89" s="160">
        <v>7.0</v>
      </c>
      <c r="C89" s="121"/>
      <c r="D89" s="160">
        <v>15.0</v>
      </c>
      <c r="E89" s="160">
        <v>16.0</v>
      </c>
      <c r="F89" s="168">
        <v>74.0</v>
      </c>
      <c r="G89" s="137"/>
      <c r="H89" s="162">
        <v>6.0</v>
      </c>
      <c r="I89" s="166">
        <v>6.0</v>
      </c>
    </row>
    <row r="90">
      <c r="A90" s="169" t="s">
        <v>113</v>
      </c>
      <c r="B90" s="170">
        <f t="shared" ref="B90:I90" si="4">AVERAGE(B67:B89)</f>
        <v>6.434782609</v>
      </c>
      <c r="C90" s="170">
        <f t="shared" si="4"/>
        <v>11.42105263</v>
      </c>
      <c r="D90" s="170">
        <f t="shared" si="4"/>
        <v>13.33333333</v>
      </c>
      <c r="E90" s="170">
        <f t="shared" si="4"/>
        <v>19.82352941</v>
      </c>
      <c r="F90" s="170">
        <f t="shared" si="4"/>
        <v>92.60869565</v>
      </c>
      <c r="G90" s="170" t="str">
        <f t="shared" si="4"/>
        <v>#DIV/0!</v>
      </c>
      <c r="H90" s="170">
        <f t="shared" si="4"/>
        <v>9.565217391</v>
      </c>
      <c r="I90" s="170">
        <f t="shared" si="4"/>
        <v>9.304347826</v>
      </c>
    </row>
    <row r="91">
      <c r="D91" s="99"/>
      <c r="E91" s="99"/>
      <c r="G91" s="99"/>
      <c r="H91" s="88"/>
      <c r="I91" s="88"/>
    </row>
    <row r="92">
      <c r="B92" s="87" t="s">
        <v>151</v>
      </c>
      <c r="D92" s="99"/>
      <c r="E92" s="99"/>
      <c r="G92" s="99"/>
      <c r="H92" s="88"/>
      <c r="I92" s="88"/>
      <c r="J92" s="98"/>
    </row>
    <row r="93">
      <c r="A93" s="100" t="s">
        <v>196</v>
      </c>
      <c r="B93" s="101" t="s">
        <v>156</v>
      </c>
      <c r="C93" s="101" t="s">
        <v>157</v>
      </c>
      <c r="D93" s="102" t="s">
        <v>158</v>
      </c>
      <c r="E93" s="103" t="s">
        <v>159</v>
      </c>
      <c r="F93" s="104" t="s">
        <v>137</v>
      </c>
      <c r="G93" s="103" t="s">
        <v>160</v>
      </c>
      <c r="H93" s="103" t="s">
        <v>197</v>
      </c>
      <c r="I93" s="101" t="s">
        <v>161</v>
      </c>
      <c r="J93" s="103" t="s">
        <v>198</v>
      </c>
    </row>
    <row r="94">
      <c r="A94" s="171" t="s">
        <v>7</v>
      </c>
      <c r="B94" s="172">
        <v>5.0</v>
      </c>
      <c r="C94" s="172">
        <v>9.0</v>
      </c>
      <c r="D94" s="172">
        <v>12.0</v>
      </c>
      <c r="E94" s="172">
        <v>14.0</v>
      </c>
      <c r="F94" s="173">
        <v>98.0</v>
      </c>
      <c r="G94" s="172">
        <v>9.0</v>
      </c>
      <c r="H94" s="172">
        <v>12.0</v>
      </c>
      <c r="I94" s="174">
        <v>10.0</v>
      </c>
      <c r="J94" s="117">
        <v>8.0</v>
      </c>
      <c r="M94" s="86" t="s">
        <v>141</v>
      </c>
      <c r="O94" s="89" t="s">
        <v>142</v>
      </c>
    </row>
    <row r="95">
      <c r="A95" s="171" t="s">
        <v>16</v>
      </c>
      <c r="B95" s="172">
        <v>12.0</v>
      </c>
      <c r="C95" s="173"/>
      <c r="D95" s="173"/>
      <c r="E95" s="172">
        <v>22.0</v>
      </c>
      <c r="F95" s="173">
        <v>105.0</v>
      </c>
      <c r="G95" s="172">
        <v>16.0</v>
      </c>
      <c r="H95" s="172">
        <v>16.0</v>
      </c>
      <c r="I95" s="174">
        <v>21.0</v>
      </c>
      <c r="J95" s="175">
        <v>16.0</v>
      </c>
      <c r="M95" s="90" t="s">
        <v>143</v>
      </c>
      <c r="O95" s="91" t="s">
        <v>144</v>
      </c>
    </row>
    <row r="96">
      <c r="A96" s="171" t="s">
        <v>21</v>
      </c>
      <c r="B96" s="172">
        <v>3.0</v>
      </c>
      <c r="C96" s="173"/>
      <c r="D96" s="173"/>
      <c r="E96" s="172">
        <v>12.0</v>
      </c>
      <c r="F96" s="173">
        <v>81.0</v>
      </c>
      <c r="G96" s="172">
        <v>4.0</v>
      </c>
      <c r="H96" s="172">
        <v>5.0</v>
      </c>
      <c r="I96" s="174">
        <v>8.0</v>
      </c>
      <c r="J96" s="117">
        <v>8.0</v>
      </c>
      <c r="M96" s="92" t="s">
        <v>145</v>
      </c>
      <c r="O96" s="93" t="s">
        <v>146</v>
      </c>
    </row>
    <row r="97">
      <c r="A97" s="171" t="s">
        <v>25</v>
      </c>
      <c r="B97" s="172">
        <v>8.0</v>
      </c>
      <c r="C97" s="172">
        <v>11.0</v>
      </c>
      <c r="D97" s="172">
        <v>16.0</v>
      </c>
      <c r="E97" s="172">
        <v>24.0</v>
      </c>
      <c r="F97" s="173">
        <v>90.0</v>
      </c>
      <c r="G97" s="172">
        <v>16.0</v>
      </c>
      <c r="H97" s="172">
        <v>12.0</v>
      </c>
      <c r="I97" s="174">
        <v>16.0</v>
      </c>
      <c r="J97" s="176"/>
      <c r="M97" s="94" t="s">
        <v>147</v>
      </c>
      <c r="O97" s="95" t="s">
        <v>148</v>
      </c>
    </row>
    <row r="98">
      <c r="A98" s="171" t="s">
        <v>29</v>
      </c>
      <c r="B98" s="172">
        <v>4.0</v>
      </c>
      <c r="C98" s="172">
        <v>10.0</v>
      </c>
      <c r="D98" s="172">
        <v>12.0</v>
      </c>
      <c r="E98" s="172">
        <v>21.0</v>
      </c>
      <c r="F98" s="173">
        <v>87.0</v>
      </c>
      <c r="G98" s="172">
        <v>7.0</v>
      </c>
      <c r="H98" s="172">
        <v>8.0</v>
      </c>
      <c r="I98" s="174">
        <v>9.0</v>
      </c>
      <c r="J98" s="177">
        <v>13.0</v>
      </c>
      <c r="O98" s="97" t="s">
        <v>150</v>
      </c>
    </row>
    <row r="99">
      <c r="A99" s="171" t="s">
        <v>33</v>
      </c>
      <c r="B99" s="172">
        <v>3.0</v>
      </c>
      <c r="C99" s="173"/>
      <c r="D99" s="172">
        <v>4.0</v>
      </c>
      <c r="E99" s="172">
        <v>8.0</v>
      </c>
      <c r="F99" s="173">
        <v>87.0</v>
      </c>
      <c r="G99" s="172">
        <v>2.0</v>
      </c>
      <c r="H99" s="172">
        <v>4.0</v>
      </c>
      <c r="I99" s="174">
        <v>5.0</v>
      </c>
      <c r="J99" s="117">
        <v>7.0</v>
      </c>
    </row>
    <row r="100">
      <c r="A100" s="171" t="s">
        <v>34</v>
      </c>
      <c r="B100" s="172">
        <v>5.0</v>
      </c>
      <c r="C100" s="172">
        <v>13.0</v>
      </c>
      <c r="D100" s="172">
        <v>15.0</v>
      </c>
      <c r="E100" s="172">
        <v>23.0</v>
      </c>
      <c r="F100" s="173">
        <v>97.0</v>
      </c>
      <c r="G100" s="172">
        <v>7.0</v>
      </c>
      <c r="H100" s="172">
        <v>7.0</v>
      </c>
      <c r="I100" s="174">
        <v>9.0</v>
      </c>
      <c r="J100" s="177">
        <v>13.0</v>
      </c>
    </row>
    <row r="101">
      <c r="A101" s="171" t="s">
        <v>40</v>
      </c>
      <c r="B101" s="172">
        <v>12.0</v>
      </c>
      <c r="C101" s="172">
        <v>24.0</v>
      </c>
      <c r="D101" s="172">
        <v>20.0</v>
      </c>
      <c r="E101" s="172">
        <v>26.0</v>
      </c>
      <c r="F101" s="173">
        <v>114.0</v>
      </c>
      <c r="G101" s="173"/>
      <c r="H101" s="172">
        <v>12.0</v>
      </c>
      <c r="I101" s="174"/>
      <c r="J101" s="128"/>
    </row>
    <row r="102">
      <c r="A102" s="171" t="s">
        <v>44</v>
      </c>
      <c r="B102" s="172">
        <v>2.0</v>
      </c>
      <c r="C102" s="172">
        <v>8.0</v>
      </c>
      <c r="D102" s="172">
        <v>11.0</v>
      </c>
      <c r="E102" s="172">
        <v>20.0</v>
      </c>
      <c r="F102" s="173">
        <v>85.0</v>
      </c>
      <c r="G102" s="172">
        <v>7.0</v>
      </c>
      <c r="H102" s="172">
        <v>10.0</v>
      </c>
      <c r="I102" s="174">
        <v>7.0</v>
      </c>
      <c r="J102" s="117">
        <v>10.0</v>
      </c>
    </row>
    <row r="103">
      <c r="A103" s="171" t="s">
        <v>49</v>
      </c>
      <c r="B103" s="172">
        <v>4.0</v>
      </c>
      <c r="C103" s="172">
        <v>7.0</v>
      </c>
      <c r="D103" s="172">
        <v>8.0</v>
      </c>
      <c r="E103" s="172">
        <v>19.0</v>
      </c>
      <c r="F103" s="173">
        <v>100.0</v>
      </c>
      <c r="G103" s="172">
        <v>12.0</v>
      </c>
      <c r="H103" s="172">
        <v>13.0</v>
      </c>
      <c r="I103" s="174">
        <v>8.0</v>
      </c>
      <c r="J103" s="129">
        <v>5.0</v>
      </c>
    </row>
    <row r="104">
      <c r="A104" s="171" t="s">
        <v>54</v>
      </c>
      <c r="B104" s="172">
        <v>5.0</v>
      </c>
      <c r="C104" s="172">
        <v>13.0</v>
      </c>
      <c r="D104" s="172">
        <v>15.0</v>
      </c>
      <c r="E104" s="172">
        <v>24.0</v>
      </c>
      <c r="F104" s="173">
        <v>87.0</v>
      </c>
      <c r="G104" s="172">
        <v>11.0</v>
      </c>
      <c r="H104" s="172">
        <v>11.0</v>
      </c>
      <c r="I104" s="174">
        <v>10.0</v>
      </c>
      <c r="J104" s="117">
        <v>8.0</v>
      </c>
    </row>
    <row r="105">
      <c r="A105" s="171" t="s">
        <v>59</v>
      </c>
      <c r="B105" s="172">
        <v>1.0</v>
      </c>
      <c r="C105" s="173"/>
      <c r="D105" s="172">
        <v>8.0</v>
      </c>
      <c r="E105" s="172">
        <v>8.0</v>
      </c>
      <c r="F105" s="173">
        <v>80.0</v>
      </c>
      <c r="G105" s="178">
        <v>3.0</v>
      </c>
      <c r="H105" s="178">
        <v>8.0</v>
      </c>
      <c r="I105" s="174">
        <v>8.0</v>
      </c>
      <c r="J105" s="117">
        <v>8.0</v>
      </c>
    </row>
    <row r="106">
      <c r="A106" s="171" t="s">
        <v>64</v>
      </c>
      <c r="B106" s="172">
        <v>8.0</v>
      </c>
      <c r="C106" s="172">
        <v>18.0</v>
      </c>
      <c r="D106" s="172">
        <v>10.0</v>
      </c>
      <c r="E106" s="172">
        <v>14.0</v>
      </c>
      <c r="F106" s="173">
        <v>92.0</v>
      </c>
      <c r="G106" s="172">
        <v>16.0</v>
      </c>
      <c r="H106" s="172">
        <v>7.0</v>
      </c>
      <c r="I106" s="174">
        <v>10.0</v>
      </c>
      <c r="J106" s="177">
        <v>13.0</v>
      </c>
    </row>
    <row r="107">
      <c r="A107" s="171" t="s">
        <v>50</v>
      </c>
      <c r="B107" s="172">
        <v>14.0</v>
      </c>
      <c r="C107" s="172">
        <v>25.0</v>
      </c>
      <c r="D107" s="172">
        <v>20.0</v>
      </c>
      <c r="E107" s="172">
        <v>31.0</v>
      </c>
      <c r="F107" s="173">
        <v>124.0</v>
      </c>
      <c r="G107" s="178">
        <v>18.0</v>
      </c>
      <c r="H107" s="178">
        <v>14.0</v>
      </c>
      <c r="I107" s="174">
        <v>22.0</v>
      </c>
      <c r="J107" s="175">
        <v>20.0</v>
      </c>
    </row>
    <row r="108">
      <c r="A108" s="171" t="s">
        <v>58</v>
      </c>
      <c r="B108" s="172">
        <v>5.0</v>
      </c>
      <c r="C108" s="173"/>
      <c r="D108" s="172">
        <v>4.0</v>
      </c>
      <c r="E108" s="172">
        <v>4.0</v>
      </c>
      <c r="F108" s="173">
        <v>72.0</v>
      </c>
      <c r="G108" s="172">
        <v>1.0</v>
      </c>
      <c r="H108" s="172">
        <v>4.0</v>
      </c>
      <c r="I108" s="174">
        <v>2.0</v>
      </c>
      <c r="J108" s="117">
        <v>6.0</v>
      </c>
    </row>
    <row r="109">
      <c r="A109" s="171" t="s">
        <v>73</v>
      </c>
      <c r="B109" s="172">
        <v>3.0</v>
      </c>
      <c r="C109" s="172">
        <v>9.0</v>
      </c>
      <c r="D109" s="172">
        <v>14.0</v>
      </c>
      <c r="E109" s="172">
        <v>20.0</v>
      </c>
      <c r="F109" s="173">
        <v>98.0</v>
      </c>
      <c r="G109" s="172">
        <v>9.0</v>
      </c>
      <c r="H109" s="172">
        <v>16.0</v>
      </c>
      <c r="I109" s="174">
        <v>17.0</v>
      </c>
      <c r="J109" s="177">
        <v>15.0</v>
      </c>
    </row>
    <row r="110">
      <c r="A110" s="171" t="s">
        <v>75</v>
      </c>
      <c r="B110" s="172">
        <v>4.0</v>
      </c>
      <c r="C110" s="172">
        <v>7.0</v>
      </c>
      <c r="D110" s="172">
        <v>9.0</v>
      </c>
      <c r="E110" s="172">
        <v>16.0</v>
      </c>
      <c r="F110" s="179">
        <v>86.0</v>
      </c>
      <c r="G110" s="172">
        <v>7.0</v>
      </c>
      <c r="H110" s="172">
        <v>7.0</v>
      </c>
      <c r="I110" s="174">
        <v>8.0</v>
      </c>
      <c r="J110" s="128"/>
    </row>
    <row r="111">
      <c r="A111" s="171" t="s">
        <v>79</v>
      </c>
      <c r="B111" s="172">
        <v>11.0</v>
      </c>
      <c r="C111" s="172">
        <v>11.0</v>
      </c>
      <c r="D111" s="172">
        <v>15.0</v>
      </c>
      <c r="E111" s="172">
        <v>34.0</v>
      </c>
      <c r="F111" s="173">
        <v>96.0</v>
      </c>
      <c r="G111" s="172">
        <v>16.0</v>
      </c>
      <c r="H111" s="172">
        <v>14.0</v>
      </c>
      <c r="I111" s="174">
        <v>10.0</v>
      </c>
      <c r="J111" s="177">
        <v>15.0</v>
      </c>
    </row>
    <row r="112">
      <c r="A112" s="171" t="s">
        <v>83</v>
      </c>
      <c r="B112" s="172">
        <v>4.0</v>
      </c>
      <c r="C112" s="172">
        <v>9.0</v>
      </c>
      <c r="D112" s="172">
        <v>13.0</v>
      </c>
      <c r="E112" s="172">
        <v>6.0</v>
      </c>
      <c r="F112" s="173">
        <v>82.0</v>
      </c>
      <c r="G112" s="172">
        <v>2.0</v>
      </c>
      <c r="H112" s="172">
        <v>7.0</v>
      </c>
      <c r="I112" s="174">
        <v>7.0</v>
      </c>
      <c r="J112" s="177">
        <v>11.0</v>
      </c>
    </row>
    <row r="113">
      <c r="A113" s="171" t="s">
        <v>87</v>
      </c>
      <c r="B113" s="172">
        <v>7.0</v>
      </c>
      <c r="C113" s="172">
        <v>32.0</v>
      </c>
      <c r="D113" s="172">
        <v>20.0</v>
      </c>
      <c r="E113" s="172">
        <v>32.0</v>
      </c>
      <c r="F113" s="173">
        <v>120.0</v>
      </c>
      <c r="G113" s="172">
        <v>16.0</v>
      </c>
      <c r="H113" s="172">
        <v>17.0</v>
      </c>
      <c r="I113" s="174">
        <v>25.0</v>
      </c>
      <c r="J113" s="175">
        <v>18.0</v>
      </c>
    </row>
    <row r="114">
      <c r="A114" s="171" t="s">
        <v>95</v>
      </c>
      <c r="B114" s="172">
        <v>13.0</v>
      </c>
      <c r="C114" s="172">
        <v>19.0</v>
      </c>
      <c r="D114" s="172">
        <v>18.0</v>
      </c>
      <c r="E114" s="172">
        <v>30.0</v>
      </c>
      <c r="F114" s="172">
        <v>110.0</v>
      </c>
      <c r="G114" s="172">
        <v>13.0</v>
      </c>
      <c r="H114" s="172">
        <v>17.0</v>
      </c>
      <c r="I114" s="174">
        <v>20.0</v>
      </c>
      <c r="J114" s="175">
        <v>20.0</v>
      </c>
    </row>
    <row r="115">
      <c r="A115" s="171" t="s">
        <v>99</v>
      </c>
      <c r="B115" s="172">
        <v>11.0</v>
      </c>
      <c r="C115" s="172">
        <v>8.0</v>
      </c>
      <c r="D115" s="172">
        <v>9.0</v>
      </c>
      <c r="E115" s="172">
        <v>19.0</v>
      </c>
      <c r="F115" s="172">
        <v>92.0</v>
      </c>
      <c r="G115" s="172">
        <v>14.0</v>
      </c>
      <c r="H115" s="172">
        <v>12.0</v>
      </c>
      <c r="I115" s="174">
        <v>11.0</v>
      </c>
      <c r="J115" s="117">
        <v>9.0</v>
      </c>
    </row>
    <row r="116">
      <c r="A116" s="169" t="s">
        <v>113</v>
      </c>
      <c r="B116" s="180">
        <f t="shared" ref="B116:J116" si="5">AVERAGE(B94:B115)</f>
        <v>6.545454545</v>
      </c>
      <c r="C116" s="180">
        <f t="shared" si="5"/>
        <v>13.70588235</v>
      </c>
      <c r="D116" s="180">
        <f t="shared" si="5"/>
        <v>12.65</v>
      </c>
      <c r="E116" s="180">
        <f t="shared" si="5"/>
        <v>19.40909091</v>
      </c>
      <c r="F116" s="132">
        <f t="shared" si="5"/>
        <v>94.68181818</v>
      </c>
      <c r="G116" s="132">
        <f t="shared" si="5"/>
        <v>9.80952381</v>
      </c>
      <c r="H116" s="132">
        <f t="shared" si="5"/>
        <v>10.59090909</v>
      </c>
      <c r="I116" s="132">
        <f t="shared" si="5"/>
        <v>11.57142857</v>
      </c>
      <c r="J116" s="132">
        <f t="shared" si="5"/>
        <v>11.73684211</v>
      </c>
    </row>
    <row r="117">
      <c r="H117" s="88"/>
      <c r="I117" s="88"/>
    </row>
    <row r="118">
      <c r="H118" s="88"/>
      <c r="I118" s="88"/>
    </row>
    <row r="119">
      <c r="H119" s="88"/>
      <c r="I119" s="88"/>
    </row>
    <row r="120">
      <c r="H120" s="88"/>
      <c r="I120" s="88"/>
    </row>
    <row r="121">
      <c r="H121" s="88"/>
      <c r="I121" s="88"/>
    </row>
    <row r="122">
      <c r="H122" s="88"/>
      <c r="I122" s="88"/>
    </row>
    <row r="123">
      <c r="H123" s="88"/>
      <c r="I123" s="88"/>
    </row>
    <row r="124">
      <c r="H124" s="88"/>
      <c r="I124" s="88"/>
    </row>
    <row r="125">
      <c r="H125" s="88"/>
      <c r="I125" s="88"/>
    </row>
    <row r="126">
      <c r="H126" s="88"/>
      <c r="I126" s="88"/>
    </row>
    <row r="127">
      <c r="H127" s="88"/>
      <c r="I127" s="88"/>
    </row>
    <row r="128">
      <c r="H128" s="88"/>
      <c r="I128" s="88"/>
    </row>
    <row r="129">
      <c r="H129" s="88"/>
      <c r="I129" s="88"/>
    </row>
    <row r="130">
      <c r="H130" s="88"/>
      <c r="I130" s="88"/>
    </row>
    <row r="131">
      <c r="H131" s="88"/>
      <c r="I131" s="88"/>
    </row>
    <row r="132">
      <c r="H132" s="88"/>
      <c r="I132" s="88"/>
    </row>
    <row r="133">
      <c r="H133" s="88"/>
      <c r="I133" s="88"/>
    </row>
    <row r="134">
      <c r="H134" s="88"/>
      <c r="I134" s="88"/>
    </row>
    <row r="135">
      <c r="H135" s="88"/>
      <c r="I135" s="88"/>
    </row>
    <row r="136">
      <c r="H136" s="88"/>
      <c r="I136" s="88"/>
    </row>
    <row r="137">
      <c r="H137" s="88"/>
      <c r="I137" s="88"/>
    </row>
    <row r="138">
      <c r="H138" s="88"/>
      <c r="I138" s="88"/>
    </row>
    <row r="139">
      <c r="H139" s="88"/>
      <c r="I139" s="88"/>
    </row>
    <row r="140">
      <c r="H140" s="88"/>
      <c r="I140" s="88"/>
    </row>
    <row r="141">
      <c r="H141" s="88"/>
      <c r="I141" s="88"/>
    </row>
    <row r="142">
      <c r="H142" s="88"/>
      <c r="I142" s="88"/>
    </row>
    <row r="143">
      <c r="H143" s="88"/>
      <c r="I143" s="88"/>
    </row>
    <row r="144">
      <c r="H144" s="88"/>
      <c r="I144" s="88"/>
    </row>
    <row r="145">
      <c r="H145" s="88"/>
      <c r="I145" s="88"/>
    </row>
    <row r="146">
      <c r="H146" s="88"/>
      <c r="I146" s="88"/>
    </row>
    <row r="147">
      <c r="H147" s="88"/>
      <c r="I147" s="88"/>
    </row>
    <row r="148">
      <c r="H148" s="88"/>
      <c r="I148" s="88"/>
    </row>
    <row r="149">
      <c r="H149" s="88"/>
      <c r="I149" s="88"/>
    </row>
    <row r="150">
      <c r="H150" s="88"/>
      <c r="I150" s="88"/>
    </row>
    <row r="151">
      <c r="H151" s="88"/>
      <c r="I151" s="88"/>
    </row>
    <row r="152">
      <c r="H152" s="88"/>
      <c r="I152" s="88"/>
    </row>
    <row r="153">
      <c r="H153" s="88"/>
      <c r="I153" s="88"/>
    </row>
    <row r="154">
      <c r="H154" s="88"/>
      <c r="I154" s="88"/>
    </row>
    <row r="155">
      <c r="H155" s="88"/>
      <c r="I155" s="88"/>
    </row>
    <row r="156">
      <c r="H156" s="88"/>
      <c r="I156" s="88"/>
    </row>
    <row r="157">
      <c r="H157" s="88"/>
      <c r="I157" s="88"/>
    </row>
    <row r="158">
      <c r="H158" s="88"/>
      <c r="I158" s="88"/>
    </row>
    <row r="159">
      <c r="H159" s="88"/>
      <c r="I159" s="88"/>
    </row>
    <row r="160">
      <c r="H160" s="88"/>
      <c r="I160" s="88"/>
    </row>
    <row r="161">
      <c r="H161" s="88"/>
      <c r="I161" s="88"/>
    </row>
    <row r="162">
      <c r="H162" s="88"/>
      <c r="I162" s="88"/>
    </row>
    <row r="163">
      <c r="H163" s="88"/>
      <c r="I163" s="88"/>
    </row>
    <row r="164">
      <c r="H164" s="88"/>
      <c r="I164" s="88"/>
    </row>
    <row r="165">
      <c r="H165" s="88"/>
      <c r="I165" s="88"/>
    </row>
    <row r="166">
      <c r="H166" s="88"/>
      <c r="I166" s="88"/>
    </row>
    <row r="167">
      <c r="H167" s="88"/>
      <c r="I167" s="88"/>
    </row>
    <row r="168">
      <c r="H168" s="88"/>
      <c r="I168" s="88"/>
    </row>
    <row r="169">
      <c r="H169" s="88"/>
      <c r="I169" s="88"/>
    </row>
    <row r="170">
      <c r="H170" s="88"/>
      <c r="I170" s="88"/>
    </row>
    <row r="171">
      <c r="H171" s="88"/>
      <c r="I171" s="88"/>
    </row>
    <row r="172">
      <c r="H172" s="88"/>
      <c r="I172" s="88"/>
    </row>
    <row r="173">
      <c r="H173" s="88"/>
      <c r="I173" s="88"/>
    </row>
    <row r="174">
      <c r="H174" s="88"/>
      <c r="I174" s="88"/>
    </row>
    <row r="175">
      <c r="H175" s="88"/>
      <c r="I175" s="88"/>
    </row>
    <row r="176">
      <c r="H176" s="88"/>
      <c r="I176" s="88"/>
    </row>
    <row r="177">
      <c r="H177" s="88"/>
      <c r="I177" s="88"/>
    </row>
    <row r="178">
      <c r="H178" s="88"/>
      <c r="I178" s="88"/>
    </row>
    <row r="179">
      <c r="H179" s="88"/>
      <c r="I179" s="88"/>
    </row>
    <row r="180">
      <c r="H180" s="88"/>
      <c r="I180" s="88"/>
    </row>
    <row r="181">
      <c r="H181" s="88"/>
      <c r="I181" s="88"/>
    </row>
    <row r="182">
      <c r="H182" s="88"/>
      <c r="I182" s="88"/>
    </row>
    <row r="183">
      <c r="H183" s="88"/>
      <c r="I183" s="88"/>
    </row>
    <row r="184">
      <c r="H184" s="88"/>
      <c r="I184" s="88"/>
    </row>
    <row r="185">
      <c r="H185" s="88"/>
      <c r="I185" s="88"/>
    </row>
    <row r="186">
      <c r="H186" s="88"/>
      <c r="I186" s="88"/>
    </row>
    <row r="187">
      <c r="H187" s="88"/>
      <c r="I187" s="88"/>
    </row>
    <row r="188">
      <c r="H188" s="88"/>
      <c r="I188" s="88"/>
    </row>
    <row r="189">
      <c r="H189" s="88"/>
      <c r="I189" s="88"/>
    </row>
    <row r="190">
      <c r="H190" s="88"/>
      <c r="I190" s="88"/>
    </row>
    <row r="191">
      <c r="H191" s="88"/>
      <c r="I191" s="88"/>
    </row>
    <row r="192">
      <c r="H192" s="88"/>
      <c r="I192" s="88"/>
    </row>
    <row r="193">
      <c r="H193" s="88"/>
      <c r="I193" s="88"/>
    </row>
    <row r="194">
      <c r="H194" s="88"/>
      <c r="I194" s="88"/>
    </row>
    <row r="195">
      <c r="H195" s="88"/>
      <c r="I195" s="88"/>
    </row>
    <row r="196">
      <c r="H196" s="88"/>
      <c r="I196" s="88"/>
    </row>
    <row r="197">
      <c r="H197" s="88"/>
      <c r="I197" s="88"/>
    </row>
    <row r="198">
      <c r="H198" s="88"/>
      <c r="I198" s="88"/>
    </row>
    <row r="199">
      <c r="H199" s="88"/>
      <c r="I199" s="88"/>
    </row>
    <row r="200">
      <c r="H200" s="88"/>
      <c r="I200" s="88"/>
    </row>
    <row r="201">
      <c r="H201" s="88"/>
      <c r="I201" s="88"/>
    </row>
    <row r="202">
      <c r="H202" s="88"/>
      <c r="I202" s="88"/>
    </row>
    <row r="203">
      <c r="H203" s="88"/>
      <c r="I203" s="88"/>
    </row>
    <row r="204">
      <c r="H204" s="88"/>
      <c r="I204" s="88"/>
    </row>
    <row r="205">
      <c r="H205" s="88"/>
      <c r="I205" s="88"/>
    </row>
    <row r="206">
      <c r="H206" s="88"/>
      <c r="I206" s="88"/>
    </row>
    <row r="207">
      <c r="H207" s="88"/>
      <c r="I207" s="88"/>
    </row>
    <row r="208">
      <c r="H208" s="88"/>
      <c r="I208" s="88"/>
    </row>
    <row r="209">
      <c r="H209" s="88"/>
      <c r="I209" s="88"/>
    </row>
    <row r="210">
      <c r="H210" s="88"/>
      <c r="I210" s="88"/>
    </row>
    <row r="211">
      <c r="H211" s="88"/>
      <c r="I211" s="88"/>
    </row>
    <row r="212">
      <c r="H212" s="88"/>
      <c r="I212" s="88"/>
    </row>
    <row r="213">
      <c r="H213" s="88"/>
      <c r="I213" s="88"/>
    </row>
    <row r="214">
      <c r="H214" s="88"/>
      <c r="I214" s="88"/>
    </row>
    <row r="215">
      <c r="H215" s="88"/>
      <c r="I215" s="88"/>
    </row>
    <row r="216">
      <c r="H216" s="88"/>
      <c r="I216" s="88"/>
    </row>
    <row r="217">
      <c r="H217" s="88"/>
      <c r="I217" s="88"/>
    </row>
    <row r="218">
      <c r="H218" s="88"/>
      <c r="I218" s="88"/>
    </row>
    <row r="219">
      <c r="H219" s="88"/>
      <c r="I219" s="88"/>
    </row>
    <row r="220">
      <c r="H220" s="88"/>
      <c r="I220" s="88"/>
    </row>
    <row r="221">
      <c r="H221" s="88"/>
      <c r="I221" s="88"/>
    </row>
    <row r="222">
      <c r="H222" s="88"/>
      <c r="I222" s="88"/>
    </row>
    <row r="223">
      <c r="H223" s="88"/>
      <c r="I223" s="88"/>
    </row>
    <row r="224">
      <c r="H224" s="88"/>
      <c r="I224" s="88"/>
    </row>
    <row r="225">
      <c r="H225" s="88"/>
      <c r="I225" s="88"/>
    </row>
    <row r="226">
      <c r="H226" s="88"/>
      <c r="I226" s="88"/>
    </row>
    <row r="227">
      <c r="H227" s="88"/>
      <c r="I227" s="88"/>
    </row>
    <row r="228">
      <c r="H228" s="88"/>
      <c r="I228" s="88"/>
    </row>
    <row r="229">
      <c r="H229" s="88"/>
      <c r="I229" s="88"/>
    </row>
    <row r="230">
      <c r="H230" s="88"/>
      <c r="I230" s="88"/>
    </row>
    <row r="231">
      <c r="H231" s="88"/>
      <c r="I231" s="88"/>
    </row>
    <row r="232">
      <c r="H232" s="88"/>
      <c r="I232" s="88"/>
    </row>
    <row r="233">
      <c r="H233" s="88"/>
      <c r="I233" s="88"/>
    </row>
    <row r="234">
      <c r="H234" s="88"/>
      <c r="I234" s="88"/>
    </row>
    <row r="235">
      <c r="H235" s="88"/>
      <c r="I235" s="88"/>
    </row>
    <row r="236">
      <c r="H236" s="88"/>
      <c r="I236" s="88"/>
    </row>
    <row r="237">
      <c r="H237" s="88"/>
      <c r="I237" s="88"/>
    </row>
    <row r="238">
      <c r="H238" s="88"/>
      <c r="I238" s="88"/>
    </row>
    <row r="239">
      <c r="H239" s="88"/>
      <c r="I239" s="88"/>
    </row>
    <row r="240">
      <c r="H240" s="88"/>
      <c r="I240" s="88"/>
    </row>
    <row r="241">
      <c r="H241" s="88"/>
      <c r="I241" s="88"/>
    </row>
    <row r="242">
      <c r="H242" s="88"/>
      <c r="I242" s="88"/>
    </row>
    <row r="243">
      <c r="H243" s="88"/>
      <c r="I243" s="88"/>
    </row>
    <row r="244">
      <c r="H244" s="88"/>
      <c r="I244" s="88"/>
    </row>
    <row r="245">
      <c r="H245" s="88"/>
      <c r="I245" s="88"/>
    </row>
    <row r="246">
      <c r="H246" s="88"/>
      <c r="I246" s="88"/>
    </row>
    <row r="247">
      <c r="H247" s="88"/>
      <c r="I247" s="88"/>
    </row>
    <row r="248">
      <c r="H248" s="88"/>
      <c r="I248" s="88"/>
    </row>
    <row r="249">
      <c r="H249" s="88"/>
      <c r="I249" s="88"/>
    </row>
    <row r="250">
      <c r="H250" s="88"/>
      <c r="I250" s="88"/>
    </row>
    <row r="251">
      <c r="H251" s="88"/>
      <c r="I251" s="88"/>
    </row>
    <row r="252">
      <c r="H252" s="88"/>
      <c r="I252" s="88"/>
    </row>
    <row r="253">
      <c r="H253" s="88"/>
      <c r="I253" s="88"/>
    </row>
    <row r="254">
      <c r="H254" s="88"/>
      <c r="I254" s="88"/>
    </row>
    <row r="255">
      <c r="H255" s="88"/>
      <c r="I255" s="88"/>
    </row>
    <row r="256">
      <c r="H256" s="88"/>
      <c r="I256" s="88"/>
    </row>
    <row r="257">
      <c r="H257" s="88"/>
      <c r="I257" s="88"/>
    </row>
    <row r="258">
      <c r="H258" s="88"/>
      <c r="I258" s="88"/>
    </row>
    <row r="259">
      <c r="H259" s="88"/>
      <c r="I259" s="88"/>
    </row>
    <row r="260">
      <c r="H260" s="88"/>
      <c r="I260" s="88"/>
    </row>
    <row r="261">
      <c r="H261" s="88"/>
      <c r="I261" s="88"/>
    </row>
    <row r="262">
      <c r="H262" s="88"/>
      <c r="I262" s="88"/>
    </row>
    <row r="263">
      <c r="H263" s="88"/>
      <c r="I263" s="88"/>
    </row>
    <row r="264">
      <c r="H264" s="88"/>
      <c r="I264" s="88"/>
    </row>
    <row r="265">
      <c r="H265" s="88"/>
      <c r="I265" s="88"/>
    </row>
    <row r="266">
      <c r="H266" s="88"/>
      <c r="I266" s="88"/>
    </row>
    <row r="267">
      <c r="H267" s="88"/>
      <c r="I267" s="88"/>
    </row>
    <row r="268">
      <c r="H268" s="88"/>
      <c r="I268" s="88"/>
    </row>
    <row r="269">
      <c r="H269" s="88"/>
      <c r="I269" s="88"/>
    </row>
    <row r="270">
      <c r="H270" s="88"/>
      <c r="I270" s="88"/>
    </row>
    <row r="271">
      <c r="H271" s="88"/>
      <c r="I271" s="88"/>
    </row>
    <row r="272">
      <c r="H272" s="88"/>
      <c r="I272" s="88"/>
    </row>
    <row r="273">
      <c r="H273" s="88"/>
      <c r="I273" s="88"/>
    </row>
    <row r="274">
      <c r="H274" s="88"/>
      <c r="I274" s="88"/>
    </row>
    <row r="275">
      <c r="H275" s="88"/>
      <c r="I275" s="88"/>
    </row>
    <row r="276">
      <c r="H276" s="88"/>
      <c r="I276" s="88"/>
    </row>
    <row r="277">
      <c r="H277" s="88"/>
      <c r="I277" s="88"/>
    </row>
    <row r="278">
      <c r="H278" s="88"/>
      <c r="I278" s="88"/>
    </row>
    <row r="279">
      <c r="H279" s="88"/>
      <c r="I279" s="88"/>
    </row>
    <row r="280">
      <c r="H280" s="88"/>
      <c r="I280" s="88"/>
    </row>
    <row r="281">
      <c r="H281" s="88"/>
      <c r="I281" s="88"/>
    </row>
    <row r="282">
      <c r="H282" s="88"/>
      <c r="I282" s="88"/>
    </row>
    <row r="283">
      <c r="H283" s="88"/>
      <c r="I283" s="88"/>
    </row>
    <row r="284">
      <c r="H284" s="88"/>
      <c r="I284" s="88"/>
    </row>
    <row r="285">
      <c r="H285" s="88"/>
      <c r="I285" s="88"/>
    </row>
    <row r="286">
      <c r="H286" s="88"/>
      <c r="I286" s="88"/>
    </row>
    <row r="287">
      <c r="H287" s="88"/>
      <c r="I287" s="88"/>
    </row>
    <row r="288">
      <c r="H288" s="88"/>
      <c r="I288" s="88"/>
    </row>
    <row r="289">
      <c r="H289" s="88"/>
      <c r="I289" s="88"/>
    </row>
    <row r="290">
      <c r="H290" s="88"/>
      <c r="I290" s="88"/>
    </row>
    <row r="291">
      <c r="H291" s="88"/>
      <c r="I291" s="88"/>
    </row>
    <row r="292">
      <c r="H292" s="88"/>
      <c r="I292" s="88"/>
    </row>
    <row r="293">
      <c r="H293" s="88"/>
      <c r="I293" s="88"/>
    </row>
    <row r="294">
      <c r="H294" s="88"/>
      <c r="I294" s="88"/>
    </row>
    <row r="295">
      <c r="H295" s="88"/>
      <c r="I295" s="88"/>
    </row>
    <row r="296">
      <c r="H296" s="88"/>
      <c r="I296" s="88"/>
    </row>
    <row r="297">
      <c r="H297" s="88"/>
      <c r="I297" s="88"/>
    </row>
    <row r="298">
      <c r="H298" s="88"/>
      <c r="I298" s="88"/>
    </row>
    <row r="299">
      <c r="H299" s="88"/>
      <c r="I299" s="88"/>
    </row>
    <row r="300">
      <c r="H300" s="88"/>
      <c r="I300" s="88"/>
    </row>
    <row r="301">
      <c r="H301" s="88"/>
      <c r="I301" s="88"/>
    </row>
    <row r="302">
      <c r="H302" s="88"/>
      <c r="I302" s="88"/>
    </row>
    <row r="303">
      <c r="H303" s="88"/>
      <c r="I303" s="88"/>
    </row>
    <row r="304">
      <c r="H304" s="88"/>
      <c r="I304" s="88"/>
    </row>
    <row r="305">
      <c r="H305" s="88"/>
      <c r="I305" s="88"/>
    </row>
    <row r="306">
      <c r="H306" s="88"/>
      <c r="I306" s="88"/>
    </row>
    <row r="307">
      <c r="H307" s="88"/>
      <c r="I307" s="88"/>
    </row>
    <row r="308">
      <c r="H308" s="88"/>
      <c r="I308" s="88"/>
    </row>
    <row r="309">
      <c r="H309" s="88"/>
      <c r="I309" s="88"/>
    </row>
    <row r="310">
      <c r="H310" s="88"/>
      <c r="I310" s="88"/>
    </row>
    <row r="311">
      <c r="H311" s="88"/>
      <c r="I311" s="88"/>
    </row>
    <row r="312">
      <c r="H312" s="88"/>
      <c r="I312" s="88"/>
    </row>
    <row r="313">
      <c r="H313" s="88"/>
      <c r="I313" s="88"/>
    </row>
    <row r="314">
      <c r="H314" s="88"/>
      <c r="I314" s="88"/>
    </row>
    <row r="315">
      <c r="H315" s="88"/>
      <c r="I315" s="88"/>
    </row>
    <row r="316">
      <c r="H316" s="88"/>
      <c r="I316" s="88"/>
    </row>
    <row r="317">
      <c r="H317" s="88"/>
      <c r="I317" s="88"/>
    </row>
    <row r="318">
      <c r="H318" s="88"/>
      <c r="I318" s="88"/>
    </row>
    <row r="319">
      <c r="H319" s="88"/>
      <c r="I319" s="88"/>
    </row>
    <row r="320">
      <c r="H320" s="88"/>
      <c r="I320" s="88"/>
    </row>
    <row r="321">
      <c r="H321" s="88"/>
      <c r="I321" s="88"/>
    </row>
    <row r="322">
      <c r="H322" s="88"/>
      <c r="I322" s="88"/>
    </row>
    <row r="323">
      <c r="H323" s="88"/>
      <c r="I323" s="88"/>
    </row>
    <row r="324">
      <c r="H324" s="88"/>
      <c r="I324" s="88"/>
    </row>
    <row r="325">
      <c r="H325" s="88"/>
      <c r="I325" s="88"/>
    </row>
    <row r="326">
      <c r="H326" s="88"/>
      <c r="I326" s="88"/>
    </row>
    <row r="327">
      <c r="H327" s="88"/>
      <c r="I327" s="88"/>
    </row>
    <row r="328">
      <c r="H328" s="88"/>
      <c r="I328" s="88"/>
    </row>
    <row r="329">
      <c r="H329" s="88"/>
      <c r="I329" s="88"/>
    </row>
    <row r="330">
      <c r="H330" s="88"/>
      <c r="I330" s="88"/>
    </row>
    <row r="331">
      <c r="H331" s="88"/>
      <c r="I331" s="88"/>
    </row>
    <row r="332">
      <c r="H332" s="88"/>
      <c r="I332" s="88"/>
    </row>
    <row r="333">
      <c r="H333" s="88"/>
      <c r="I333" s="88"/>
    </row>
    <row r="334">
      <c r="H334" s="88"/>
      <c r="I334" s="88"/>
    </row>
    <row r="335">
      <c r="H335" s="88"/>
      <c r="I335" s="88"/>
    </row>
    <row r="336">
      <c r="H336" s="88"/>
      <c r="I336" s="88"/>
    </row>
    <row r="337">
      <c r="H337" s="88"/>
      <c r="I337" s="88"/>
    </row>
    <row r="338">
      <c r="H338" s="88"/>
      <c r="I338" s="88"/>
    </row>
    <row r="339">
      <c r="H339" s="88"/>
      <c r="I339" s="88"/>
    </row>
    <row r="340">
      <c r="H340" s="88"/>
      <c r="I340" s="88"/>
    </row>
    <row r="341">
      <c r="H341" s="88"/>
      <c r="I341" s="88"/>
    </row>
    <row r="342">
      <c r="H342" s="88"/>
      <c r="I342" s="88"/>
    </row>
    <row r="343">
      <c r="H343" s="88"/>
      <c r="I343" s="88"/>
    </row>
    <row r="344">
      <c r="H344" s="88"/>
      <c r="I344" s="88"/>
    </row>
    <row r="345">
      <c r="H345" s="88"/>
      <c r="I345" s="88"/>
    </row>
    <row r="346">
      <c r="H346" s="88"/>
      <c r="I346" s="88"/>
    </row>
    <row r="347">
      <c r="H347" s="88"/>
      <c r="I347" s="88"/>
    </row>
    <row r="348">
      <c r="H348" s="88"/>
      <c r="I348" s="88"/>
    </row>
    <row r="349">
      <c r="H349" s="88"/>
      <c r="I349" s="88"/>
    </row>
    <row r="350">
      <c r="H350" s="88"/>
      <c r="I350" s="88"/>
    </row>
    <row r="351">
      <c r="H351" s="88"/>
      <c r="I351" s="88"/>
    </row>
    <row r="352">
      <c r="H352" s="88"/>
      <c r="I352" s="88"/>
    </row>
    <row r="353">
      <c r="H353" s="88"/>
      <c r="I353" s="88"/>
    </row>
    <row r="354">
      <c r="H354" s="88"/>
      <c r="I354" s="88"/>
    </row>
    <row r="355">
      <c r="H355" s="88"/>
      <c r="I355" s="88"/>
    </row>
    <row r="356">
      <c r="H356" s="88"/>
      <c r="I356" s="88"/>
    </row>
    <row r="357">
      <c r="H357" s="88"/>
      <c r="I357" s="88"/>
    </row>
    <row r="358">
      <c r="H358" s="88"/>
      <c r="I358" s="88"/>
    </row>
    <row r="359">
      <c r="H359" s="88"/>
      <c r="I359" s="88"/>
    </row>
    <row r="360">
      <c r="H360" s="88"/>
      <c r="I360" s="88"/>
    </row>
    <row r="361">
      <c r="H361" s="88"/>
      <c r="I361" s="88"/>
    </row>
    <row r="362">
      <c r="H362" s="88"/>
      <c r="I362" s="88"/>
    </row>
    <row r="363">
      <c r="H363" s="88"/>
      <c r="I363" s="88"/>
    </row>
    <row r="364">
      <c r="H364" s="88"/>
      <c r="I364" s="88"/>
    </row>
    <row r="365">
      <c r="H365" s="88"/>
      <c r="I365" s="88"/>
    </row>
    <row r="366">
      <c r="H366" s="88"/>
      <c r="I366" s="88"/>
    </row>
    <row r="367">
      <c r="H367" s="88"/>
      <c r="I367" s="88"/>
    </row>
    <row r="368">
      <c r="H368" s="88"/>
      <c r="I368" s="88"/>
    </row>
    <row r="369">
      <c r="H369" s="88"/>
      <c r="I369" s="88"/>
    </row>
    <row r="370">
      <c r="H370" s="88"/>
      <c r="I370" s="88"/>
    </row>
    <row r="371">
      <c r="H371" s="88"/>
      <c r="I371" s="88"/>
    </row>
    <row r="372">
      <c r="H372" s="88"/>
      <c r="I372" s="88"/>
    </row>
    <row r="373">
      <c r="H373" s="88"/>
      <c r="I373" s="88"/>
    </row>
    <row r="374">
      <c r="H374" s="88"/>
      <c r="I374" s="88"/>
    </row>
    <row r="375">
      <c r="H375" s="88"/>
      <c r="I375" s="88"/>
    </row>
    <row r="376">
      <c r="H376" s="88"/>
      <c r="I376" s="88"/>
    </row>
    <row r="377">
      <c r="H377" s="88"/>
      <c r="I377" s="88"/>
    </row>
    <row r="378">
      <c r="H378" s="88"/>
      <c r="I378" s="88"/>
    </row>
    <row r="379">
      <c r="H379" s="88"/>
      <c r="I379" s="88"/>
    </row>
    <row r="380">
      <c r="H380" s="88"/>
      <c r="I380" s="88"/>
    </row>
    <row r="381">
      <c r="H381" s="88"/>
      <c r="I381" s="88"/>
    </row>
    <row r="382">
      <c r="H382" s="88"/>
      <c r="I382" s="88"/>
    </row>
    <row r="383">
      <c r="H383" s="88"/>
      <c r="I383" s="88"/>
    </row>
    <row r="384">
      <c r="H384" s="88"/>
      <c r="I384" s="88"/>
    </row>
    <row r="385">
      <c r="H385" s="88"/>
      <c r="I385" s="88"/>
    </row>
    <row r="386">
      <c r="H386" s="88"/>
      <c r="I386" s="88"/>
    </row>
    <row r="387">
      <c r="H387" s="88"/>
      <c r="I387" s="88"/>
    </row>
    <row r="388">
      <c r="H388" s="88"/>
      <c r="I388" s="88"/>
    </row>
    <row r="389">
      <c r="H389" s="88"/>
      <c r="I389" s="88"/>
    </row>
    <row r="390">
      <c r="H390" s="88"/>
      <c r="I390" s="88"/>
    </row>
    <row r="391">
      <c r="H391" s="88"/>
      <c r="I391" s="88"/>
    </row>
    <row r="392">
      <c r="H392" s="88"/>
      <c r="I392" s="88"/>
    </row>
    <row r="393">
      <c r="H393" s="88"/>
      <c r="I393" s="88"/>
    </row>
    <row r="394">
      <c r="H394" s="88"/>
      <c r="I394" s="88"/>
    </row>
    <row r="395">
      <c r="H395" s="88"/>
      <c r="I395" s="88"/>
    </row>
    <row r="396">
      <c r="H396" s="88"/>
      <c r="I396" s="88"/>
    </row>
    <row r="397">
      <c r="H397" s="88"/>
      <c r="I397" s="88"/>
    </row>
    <row r="398">
      <c r="H398" s="88"/>
      <c r="I398" s="88"/>
    </row>
    <row r="399">
      <c r="H399" s="88"/>
      <c r="I399" s="88"/>
    </row>
    <row r="400">
      <c r="H400" s="88"/>
      <c r="I400" s="88"/>
    </row>
    <row r="401">
      <c r="H401" s="88"/>
      <c r="I401" s="88"/>
    </row>
    <row r="402">
      <c r="H402" s="88"/>
      <c r="I402" s="88"/>
    </row>
    <row r="403">
      <c r="H403" s="88"/>
      <c r="I403" s="88"/>
    </row>
    <row r="404">
      <c r="H404" s="88"/>
      <c r="I404" s="88"/>
    </row>
    <row r="405">
      <c r="H405" s="88"/>
      <c r="I405" s="88"/>
    </row>
    <row r="406">
      <c r="H406" s="88"/>
      <c r="I406" s="88"/>
    </row>
    <row r="407">
      <c r="H407" s="88"/>
      <c r="I407" s="88"/>
    </row>
    <row r="408">
      <c r="H408" s="88"/>
      <c r="I408" s="88"/>
    </row>
    <row r="409">
      <c r="H409" s="88"/>
      <c r="I409" s="88"/>
    </row>
    <row r="410">
      <c r="H410" s="88"/>
      <c r="I410" s="88"/>
    </row>
    <row r="411">
      <c r="H411" s="88"/>
      <c r="I411" s="88"/>
    </row>
    <row r="412">
      <c r="H412" s="88"/>
      <c r="I412" s="88"/>
    </row>
    <row r="413">
      <c r="H413" s="88"/>
      <c r="I413" s="88"/>
    </row>
    <row r="414">
      <c r="H414" s="88"/>
      <c r="I414" s="88"/>
    </row>
    <row r="415">
      <c r="H415" s="88"/>
      <c r="I415" s="88"/>
    </row>
    <row r="416">
      <c r="H416" s="88"/>
      <c r="I416" s="88"/>
    </row>
    <row r="417">
      <c r="H417" s="88"/>
      <c r="I417" s="88"/>
    </row>
    <row r="418">
      <c r="H418" s="88"/>
      <c r="I418" s="88"/>
    </row>
    <row r="419">
      <c r="H419" s="88"/>
      <c r="I419" s="88"/>
    </row>
    <row r="420">
      <c r="H420" s="88"/>
      <c r="I420" s="88"/>
    </row>
    <row r="421">
      <c r="H421" s="88"/>
      <c r="I421" s="88"/>
    </row>
    <row r="422">
      <c r="H422" s="88"/>
      <c r="I422" s="88"/>
    </row>
    <row r="423">
      <c r="H423" s="88"/>
      <c r="I423" s="88"/>
    </row>
    <row r="424">
      <c r="H424" s="88"/>
      <c r="I424" s="88"/>
    </row>
    <row r="425">
      <c r="H425" s="88"/>
      <c r="I425" s="88"/>
    </row>
    <row r="426">
      <c r="H426" s="88"/>
      <c r="I426" s="88"/>
    </row>
    <row r="427">
      <c r="H427" s="88"/>
      <c r="I427" s="88"/>
    </row>
    <row r="428">
      <c r="H428" s="88"/>
      <c r="I428" s="88"/>
    </row>
    <row r="429">
      <c r="H429" s="88"/>
      <c r="I429" s="88"/>
    </row>
    <row r="430">
      <c r="H430" s="88"/>
      <c r="I430" s="88"/>
    </row>
    <row r="431">
      <c r="H431" s="88"/>
      <c r="I431" s="88"/>
    </row>
    <row r="432">
      <c r="H432" s="88"/>
      <c r="I432" s="88"/>
    </row>
    <row r="433">
      <c r="H433" s="88"/>
      <c r="I433" s="88"/>
    </row>
    <row r="434">
      <c r="H434" s="88"/>
      <c r="I434" s="88"/>
    </row>
    <row r="435">
      <c r="H435" s="88"/>
      <c r="I435" s="88"/>
    </row>
    <row r="436">
      <c r="H436" s="88"/>
      <c r="I436" s="88"/>
    </row>
    <row r="437">
      <c r="H437" s="88"/>
      <c r="I437" s="88"/>
    </row>
    <row r="438">
      <c r="H438" s="88"/>
      <c r="I438" s="88"/>
    </row>
    <row r="439">
      <c r="H439" s="88"/>
      <c r="I439" s="88"/>
    </row>
    <row r="440">
      <c r="H440" s="88"/>
      <c r="I440" s="88"/>
    </row>
    <row r="441">
      <c r="H441" s="88"/>
      <c r="I441" s="88"/>
    </row>
    <row r="442">
      <c r="H442" s="88"/>
      <c r="I442" s="88"/>
    </row>
    <row r="443">
      <c r="H443" s="88"/>
      <c r="I443" s="88"/>
    </row>
    <row r="444">
      <c r="H444" s="88"/>
      <c r="I444" s="88"/>
    </row>
    <row r="445">
      <c r="H445" s="88"/>
      <c r="I445" s="88"/>
    </row>
    <row r="446">
      <c r="H446" s="88"/>
      <c r="I446" s="88"/>
    </row>
    <row r="447">
      <c r="H447" s="88"/>
      <c r="I447" s="88"/>
    </row>
    <row r="448">
      <c r="H448" s="88"/>
      <c r="I448" s="88"/>
    </row>
    <row r="449">
      <c r="H449" s="88"/>
      <c r="I449" s="88"/>
    </row>
    <row r="450">
      <c r="H450" s="88"/>
      <c r="I450" s="88"/>
    </row>
    <row r="451">
      <c r="H451" s="88"/>
      <c r="I451" s="88"/>
    </row>
    <row r="452">
      <c r="H452" s="88"/>
      <c r="I452" s="88"/>
    </row>
    <row r="453">
      <c r="H453" s="88"/>
      <c r="I453" s="88"/>
    </row>
    <row r="454">
      <c r="H454" s="88"/>
      <c r="I454" s="88"/>
    </row>
    <row r="455">
      <c r="H455" s="88"/>
      <c r="I455" s="88"/>
    </row>
    <row r="456">
      <c r="H456" s="88"/>
      <c r="I456" s="88"/>
    </row>
    <row r="457">
      <c r="H457" s="88"/>
      <c r="I457" s="88"/>
    </row>
    <row r="458">
      <c r="H458" s="88"/>
      <c r="I458" s="88"/>
    </row>
    <row r="459">
      <c r="H459" s="88"/>
      <c r="I459" s="88"/>
    </row>
    <row r="460">
      <c r="H460" s="88"/>
      <c r="I460" s="88"/>
    </row>
    <row r="461">
      <c r="H461" s="88"/>
      <c r="I461" s="88"/>
    </row>
    <row r="462">
      <c r="H462" s="88"/>
      <c r="I462" s="88"/>
    </row>
    <row r="463">
      <c r="H463" s="88"/>
      <c r="I463" s="88"/>
    </row>
    <row r="464">
      <c r="H464" s="88"/>
      <c r="I464" s="88"/>
    </row>
    <row r="465">
      <c r="H465" s="88"/>
      <c r="I465" s="88"/>
    </row>
    <row r="466">
      <c r="H466" s="88"/>
      <c r="I466" s="88"/>
    </row>
    <row r="467">
      <c r="H467" s="88"/>
      <c r="I467" s="88"/>
    </row>
    <row r="468">
      <c r="H468" s="88"/>
      <c r="I468" s="88"/>
    </row>
    <row r="469">
      <c r="H469" s="88"/>
      <c r="I469" s="88"/>
    </row>
    <row r="470">
      <c r="H470" s="88"/>
      <c r="I470" s="88"/>
    </row>
    <row r="471">
      <c r="H471" s="88"/>
      <c r="I471" s="88"/>
    </row>
    <row r="472">
      <c r="H472" s="88"/>
      <c r="I472" s="88"/>
    </row>
    <row r="473">
      <c r="H473" s="88"/>
      <c r="I473" s="88"/>
    </row>
    <row r="474">
      <c r="H474" s="88"/>
      <c r="I474" s="88"/>
    </row>
    <row r="475">
      <c r="H475" s="88"/>
      <c r="I475" s="88"/>
    </row>
    <row r="476">
      <c r="H476" s="88"/>
      <c r="I476" s="88"/>
    </row>
    <row r="477">
      <c r="H477" s="88"/>
      <c r="I477" s="88"/>
    </row>
    <row r="478">
      <c r="H478" s="88"/>
      <c r="I478" s="88"/>
    </row>
    <row r="479">
      <c r="H479" s="88"/>
      <c r="I479" s="88"/>
    </row>
    <row r="480">
      <c r="H480" s="88"/>
      <c r="I480" s="88"/>
    </row>
    <row r="481">
      <c r="H481" s="88"/>
      <c r="I481" s="88"/>
    </row>
    <row r="482">
      <c r="H482" s="88"/>
      <c r="I482" s="88"/>
    </row>
    <row r="483">
      <c r="H483" s="88"/>
      <c r="I483" s="88"/>
    </row>
    <row r="484">
      <c r="H484" s="88"/>
      <c r="I484" s="88"/>
    </row>
    <row r="485">
      <c r="H485" s="88"/>
      <c r="I485" s="88"/>
    </row>
    <row r="486">
      <c r="H486" s="88"/>
      <c r="I486" s="88"/>
    </row>
    <row r="487">
      <c r="H487" s="88"/>
      <c r="I487" s="88"/>
    </row>
    <row r="488">
      <c r="H488" s="88"/>
      <c r="I488" s="88"/>
    </row>
    <row r="489">
      <c r="H489" s="88"/>
      <c r="I489" s="88"/>
    </row>
    <row r="490">
      <c r="H490" s="88"/>
      <c r="I490" s="88"/>
    </row>
    <row r="491">
      <c r="H491" s="88"/>
      <c r="I491" s="88"/>
    </row>
    <row r="492">
      <c r="H492" s="88"/>
      <c r="I492" s="88"/>
    </row>
    <row r="493">
      <c r="H493" s="88"/>
      <c r="I493" s="88"/>
    </row>
    <row r="494">
      <c r="H494" s="88"/>
      <c r="I494" s="88"/>
    </row>
    <row r="495">
      <c r="H495" s="88"/>
      <c r="I495" s="88"/>
    </row>
    <row r="496">
      <c r="H496" s="88"/>
      <c r="I496" s="88"/>
    </row>
    <row r="497">
      <c r="H497" s="88"/>
      <c r="I497" s="88"/>
    </row>
    <row r="498">
      <c r="H498" s="88"/>
      <c r="I498" s="88"/>
    </row>
    <row r="499">
      <c r="H499" s="88"/>
      <c r="I499" s="88"/>
    </row>
    <row r="500">
      <c r="H500" s="88"/>
      <c r="I500" s="88"/>
    </row>
    <row r="501">
      <c r="H501" s="88"/>
      <c r="I501" s="88"/>
    </row>
    <row r="502">
      <c r="H502" s="88"/>
      <c r="I502" s="88"/>
    </row>
    <row r="503">
      <c r="H503" s="88"/>
      <c r="I503" s="88"/>
    </row>
    <row r="504">
      <c r="H504" s="88"/>
      <c r="I504" s="88"/>
    </row>
    <row r="505">
      <c r="H505" s="88"/>
      <c r="I505" s="88"/>
    </row>
    <row r="506">
      <c r="H506" s="88"/>
      <c r="I506" s="88"/>
    </row>
    <row r="507">
      <c r="H507" s="88"/>
      <c r="I507" s="88"/>
    </row>
    <row r="508">
      <c r="H508" s="88"/>
      <c r="I508" s="88"/>
    </row>
    <row r="509">
      <c r="H509" s="88"/>
      <c r="I509" s="88"/>
    </row>
    <row r="510">
      <c r="H510" s="88"/>
      <c r="I510" s="88"/>
    </row>
    <row r="511">
      <c r="H511" s="88"/>
      <c r="I511" s="88"/>
    </row>
    <row r="512">
      <c r="H512" s="88"/>
      <c r="I512" s="88"/>
    </row>
    <row r="513">
      <c r="H513" s="88"/>
      <c r="I513" s="88"/>
    </row>
    <row r="514">
      <c r="H514" s="88"/>
      <c r="I514" s="88"/>
    </row>
    <row r="515">
      <c r="H515" s="88"/>
      <c r="I515" s="88"/>
    </row>
    <row r="516">
      <c r="H516" s="88"/>
      <c r="I516" s="88"/>
    </row>
    <row r="517">
      <c r="H517" s="88"/>
      <c r="I517" s="88"/>
    </row>
    <row r="518">
      <c r="H518" s="88"/>
      <c r="I518" s="88"/>
    </row>
    <row r="519">
      <c r="H519" s="88"/>
      <c r="I519" s="88"/>
    </row>
    <row r="520">
      <c r="H520" s="88"/>
      <c r="I520" s="88"/>
    </row>
    <row r="521">
      <c r="H521" s="88"/>
      <c r="I521" s="88"/>
    </row>
    <row r="522">
      <c r="H522" s="88"/>
      <c r="I522" s="88"/>
    </row>
    <row r="523">
      <c r="H523" s="88"/>
      <c r="I523" s="88"/>
    </row>
    <row r="524">
      <c r="H524" s="88"/>
      <c r="I524" s="88"/>
    </row>
    <row r="525">
      <c r="H525" s="88"/>
      <c r="I525" s="88"/>
    </row>
    <row r="526">
      <c r="H526" s="88"/>
      <c r="I526" s="88"/>
    </row>
    <row r="527">
      <c r="H527" s="88"/>
      <c r="I527" s="88"/>
    </row>
    <row r="528">
      <c r="H528" s="88"/>
      <c r="I528" s="88"/>
    </row>
    <row r="529">
      <c r="H529" s="88"/>
      <c r="I529" s="88"/>
    </row>
    <row r="530">
      <c r="H530" s="88"/>
      <c r="I530" s="88"/>
    </row>
    <row r="531">
      <c r="H531" s="88"/>
      <c r="I531" s="88"/>
    </row>
    <row r="532">
      <c r="H532" s="88"/>
      <c r="I532" s="88"/>
    </row>
    <row r="533">
      <c r="H533" s="88"/>
      <c r="I533" s="88"/>
    </row>
    <row r="534">
      <c r="H534" s="88"/>
      <c r="I534" s="88"/>
    </row>
    <row r="535">
      <c r="H535" s="88"/>
      <c r="I535" s="88"/>
    </row>
    <row r="536">
      <c r="H536" s="88"/>
      <c r="I536" s="88"/>
    </row>
    <row r="537">
      <c r="H537" s="88"/>
      <c r="I537" s="88"/>
    </row>
    <row r="538">
      <c r="H538" s="88"/>
      <c r="I538" s="88"/>
    </row>
    <row r="539">
      <c r="H539" s="88"/>
      <c r="I539" s="88"/>
    </row>
    <row r="540">
      <c r="H540" s="88"/>
      <c r="I540" s="88"/>
    </row>
    <row r="541">
      <c r="H541" s="88"/>
      <c r="I541" s="88"/>
    </row>
    <row r="542">
      <c r="H542" s="88"/>
      <c r="I542" s="88"/>
    </row>
    <row r="543">
      <c r="H543" s="88"/>
      <c r="I543" s="88"/>
    </row>
    <row r="544">
      <c r="H544" s="88"/>
      <c r="I544" s="88"/>
    </row>
    <row r="545">
      <c r="H545" s="88"/>
      <c r="I545" s="88"/>
    </row>
    <row r="546">
      <c r="H546" s="88"/>
      <c r="I546" s="88"/>
    </row>
    <row r="547">
      <c r="H547" s="88"/>
      <c r="I547" s="88"/>
    </row>
    <row r="548">
      <c r="H548" s="88"/>
      <c r="I548" s="88"/>
    </row>
    <row r="549">
      <c r="H549" s="88"/>
      <c r="I549" s="88"/>
    </row>
    <row r="550">
      <c r="H550" s="88"/>
      <c r="I550" s="88"/>
    </row>
    <row r="551">
      <c r="H551" s="88"/>
      <c r="I551" s="88"/>
    </row>
    <row r="552">
      <c r="H552" s="88"/>
      <c r="I552" s="88"/>
    </row>
    <row r="553">
      <c r="H553" s="88"/>
      <c r="I553" s="88"/>
    </row>
    <row r="554">
      <c r="H554" s="88"/>
      <c r="I554" s="88"/>
    </row>
    <row r="555">
      <c r="H555" s="88"/>
      <c r="I555" s="88"/>
    </row>
    <row r="556">
      <c r="H556" s="88"/>
      <c r="I556" s="88"/>
    </row>
    <row r="557">
      <c r="H557" s="88"/>
      <c r="I557" s="88"/>
    </row>
    <row r="558">
      <c r="H558" s="88"/>
      <c r="I558" s="88"/>
    </row>
    <row r="559">
      <c r="H559" s="88"/>
      <c r="I559" s="88"/>
    </row>
    <row r="560">
      <c r="H560" s="88"/>
      <c r="I560" s="88"/>
    </row>
    <row r="561">
      <c r="H561" s="88"/>
      <c r="I561" s="88"/>
    </row>
    <row r="562">
      <c r="H562" s="88"/>
      <c r="I562" s="88"/>
    </row>
    <row r="563">
      <c r="H563" s="88"/>
      <c r="I563" s="88"/>
    </row>
    <row r="564">
      <c r="H564" s="88"/>
      <c r="I564" s="88"/>
    </row>
    <row r="565">
      <c r="H565" s="88"/>
      <c r="I565" s="88"/>
    </row>
    <row r="566">
      <c r="H566" s="88"/>
      <c r="I566" s="88"/>
    </row>
    <row r="567">
      <c r="H567" s="88"/>
      <c r="I567" s="88"/>
    </row>
    <row r="568">
      <c r="H568" s="88"/>
      <c r="I568" s="88"/>
    </row>
    <row r="569">
      <c r="H569" s="88"/>
      <c r="I569" s="88"/>
    </row>
    <row r="570">
      <c r="H570" s="88"/>
      <c r="I570" s="88"/>
    </row>
    <row r="571">
      <c r="H571" s="88"/>
      <c r="I571" s="88"/>
    </row>
    <row r="572">
      <c r="H572" s="88"/>
      <c r="I572" s="88"/>
    </row>
    <row r="573">
      <c r="H573" s="88"/>
      <c r="I573" s="88"/>
    </row>
    <row r="574">
      <c r="H574" s="88"/>
      <c r="I574" s="88"/>
    </row>
    <row r="575">
      <c r="H575" s="88"/>
      <c r="I575" s="88"/>
    </row>
    <row r="576">
      <c r="H576" s="88"/>
      <c r="I576" s="88"/>
    </row>
    <row r="577">
      <c r="H577" s="88"/>
      <c r="I577" s="88"/>
    </row>
    <row r="578">
      <c r="H578" s="88"/>
      <c r="I578" s="88"/>
    </row>
    <row r="579">
      <c r="H579" s="88"/>
      <c r="I579" s="88"/>
    </row>
    <row r="580">
      <c r="H580" s="88"/>
      <c r="I580" s="88"/>
    </row>
    <row r="581">
      <c r="H581" s="88"/>
      <c r="I581" s="88"/>
    </row>
    <row r="582">
      <c r="H582" s="88"/>
      <c r="I582" s="88"/>
    </row>
    <row r="583">
      <c r="H583" s="88"/>
      <c r="I583" s="88"/>
    </row>
    <row r="584">
      <c r="H584" s="88"/>
      <c r="I584" s="88"/>
    </row>
    <row r="585">
      <c r="H585" s="88"/>
      <c r="I585" s="88"/>
    </row>
    <row r="586">
      <c r="H586" s="88"/>
      <c r="I586" s="88"/>
    </row>
    <row r="587">
      <c r="H587" s="88"/>
      <c r="I587" s="88"/>
    </row>
    <row r="588">
      <c r="H588" s="88"/>
      <c r="I588" s="88"/>
    </row>
    <row r="589">
      <c r="H589" s="88"/>
      <c r="I589" s="88"/>
    </row>
    <row r="590">
      <c r="H590" s="88"/>
      <c r="I590" s="88"/>
    </row>
    <row r="591">
      <c r="H591" s="88"/>
      <c r="I591" s="88"/>
    </row>
    <row r="592">
      <c r="H592" s="88"/>
      <c r="I592" s="88"/>
    </row>
    <row r="593">
      <c r="H593" s="88"/>
      <c r="I593" s="88"/>
    </row>
    <row r="594">
      <c r="H594" s="88"/>
      <c r="I594" s="88"/>
    </row>
    <row r="595">
      <c r="H595" s="88"/>
      <c r="I595" s="88"/>
    </row>
    <row r="596">
      <c r="H596" s="88"/>
      <c r="I596" s="88"/>
    </row>
    <row r="597">
      <c r="H597" s="88"/>
      <c r="I597" s="88"/>
    </row>
    <row r="598">
      <c r="H598" s="88"/>
      <c r="I598" s="88"/>
    </row>
    <row r="599">
      <c r="H599" s="88"/>
      <c r="I599" s="88"/>
    </row>
    <row r="600">
      <c r="H600" s="88"/>
      <c r="I600" s="88"/>
    </row>
    <row r="601">
      <c r="H601" s="88"/>
      <c r="I601" s="88"/>
    </row>
    <row r="602">
      <c r="H602" s="88"/>
      <c r="I602" s="88"/>
    </row>
    <row r="603">
      <c r="H603" s="88"/>
      <c r="I603" s="88"/>
    </row>
    <row r="604">
      <c r="H604" s="88"/>
      <c r="I604" s="88"/>
    </row>
    <row r="605">
      <c r="H605" s="88"/>
      <c r="I605" s="88"/>
    </row>
    <row r="606">
      <c r="H606" s="88"/>
      <c r="I606" s="88"/>
    </row>
    <row r="607">
      <c r="H607" s="88"/>
      <c r="I607" s="88"/>
    </row>
    <row r="608">
      <c r="H608" s="88"/>
      <c r="I608" s="88"/>
    </row>
    <row r="609">
      <c r="H609" s="88"/>
      <c r="I609" s="88"/>
    </row>
    <row r="610">
      <c r="H610" s="88"/>
      <c r="I610" s="88"/>
    </row>
    <row r="611">
      <c r="H611" s="88"/>
      <c r="I611" s="88"/>
    </row>
    <row r="612">
      <c r="H612" s="88"/>
      <c r="I612" s="88"/>
    </row>
    <row r="613">
      <c r="H613" s="88"/>
      <c r="I613" s="88"/>
    </row>
    <row r="614">
      <c r="H614" s="88"/>
      <c r="I614" s="88"/>
    </row>
    <row r="615">
      <c r="H615" s="88"/>
      <c r="I615" s="88"/>
    </row>
    <row r="616">
      <c r="H616" s="88"/>
      <c r="I616" s="88"/>
    </row>
    <row r="617">
      <c r="H617" s="88"/>
      <c r="I617" s="88"/>
    </row>
    <row r="618">
      <c r="H618" s="88"/>
      <c r="I618" s="88"/>
    </row>
    <row r="619">
      <c r="H619" s="88"/>
      <c r="I619" s="88"/>
    </row>
    <row r="620">
      <c r="H620" s="88"/>
      <c r="I620" s="88"/>
    </row>
    <row r="621">
      <c r="H621" s="88"/>
      <c r="I621" s="88"/>
    </row>
    <row r="622">
      <c r="H622" s="88"/>
      <c r="I622" s="88"/>
    </row>
    <row r="623">
      <c r="H623" s="88"/>
      <c r="I623" s="88"/>
    </row>
    <row r="624">
      <c r="H624" s="88"/>
      <c r="I624" s="88"/>
    </row>
    <row r="625">
      <c r="H625" s="88"/>
      <c r="I625" s="88"/>
    </row>
    <row r="626">
      <c r="H626" s="88"/>
      <c r="I626" s="88"/>
    </row>
    <row r="627">
      <c r="H627" s="88"/>
      <c r="I627" s="88"/>
    </row>
    <row r="628">
      <c r="H628" s="88"/>
      <c r="I628" s="88"/>
    </row>
    <row r="629">
      <c r="H629" s="88"/>
      <c r="I629" s="88"/>
    </row>
    <row r="630">
      <c r="H630" s="88"/>
      <c r="I630" s="88"/>
    </row>
    <row r="631">
      <c r="H631" s="88"/>
      <c r="I631" s="88"/>
    </row>
    <row r="632">
      <c r="H632" s="88"/>
      <c r="I632" s="88"/>
    </row>
    <row r="633">
      <c r="H633" s="88"/>
      <c r="I633" s="88"/>
    </row>
    <row r="634">
      <c r="H634" s="88"/>
      <c r="I634" s="88"/>
    </row>
    <row r="635">
      <c r="H635" s="88"/>
      <c r="I635" s="88"/>
    </row>
    <row r="636">
      <c r="H636" s="88"/>
      <c r="I636" s="88"/>
    </row>
    <row r="637">
      <c r="H637" s="88"/>
      <c r="I637" s="88"/>
    </row>
    <row r="638">
      <c r="H638" s="88"/>
      <c r="I638" s="88"/>
    </row>
    <row r="639">
      <c r="H639" s="88"/>
      <c r="I639" s="88"/>
    </row>
    <row r="640">
      <c r="H640" s="88"/>
      <c r="I640" s="88"/>
    </row>
    <row r="641">
      <c r="H641" s="88"/>
      <c r="I641" s="88"/>
    </row>
    <row r="642">
      <c r="H642" s="88"/>
      <c r="I642" s="88"/>
    </row>
    <row r="643">
      <c r="H643" s="88"/>
      <c r="I643" s="88"/>
    </row>
    <row r="644">
      <c r="H644" s="88"/>
      <c r="I644" s="88"/>
    </row>
    <row r="645">
      <c r="H645" s="88"/>
      <c r="I645" s="88"/>
    </row>
    <row r="646">
      <c r="H646" s="88"/>
      <c r="I646" s="88"/>
    </row>
    <row r="647">
      <c r="H647" s="88"/>
      <c r="I647" s="88"/>
    </row>
    <row r="648">
      <c r="H648" s="88"/>
      <c r="I648" s="88"/>
    </row>
    <row r="649">
      <c r="H649" s="88"/>
      <c r="I649" s="88"/>
    </row>
    <row r="650">
      <c r="H650" s="88"/>
      <c r="I650" s="88"/>
    </row>
    <row r="651">
      <c r="H651" s="88"/>
      <c r="I651" s="88"/>
    </row>
    <row r="652">
      <c r="H652" s="88"/>
      <c r="I652" s="88"/>
    </row>
    <row r="653">
      <c r="H653" s="88"/>
      <c r="I653" s="88"/>
    </row>
    <row r="654">
      <c r="H654" s="88"/>
      <c r="I654" s="88"/>
    </row>
    <row r="655">
      <c r="H655" s="88"/>
      <c r="I655" s="88"/>
    </row>
    <row r="656">
      <c r="H656" s="88"/>
      <c r="I656" s="88"/>
    </row>
    <row r="657">
      <c r="H657" s="88"/>
      <c r="I657" s="88"/>
    </row>
    <row r="658">
      <c r="H658" s="88"/>
      <c r="I658" s="88"/>
    </row>
    <row r="659">
      <c r="H659" s="88"/>
      <c r="I659" s="88"/>
    </row>
    <row r="660">
      <c r="H660" s="88"/>
      <c r="I660" s="88"/>
    </row>
    <row r="661">
      <c r="H661" s="88"/>
      <c r="I661" s="88"/>
    </row>
    <row r="662">
      <c r="H662" s="88"/>
      <c r="I662" s="88"/>
    </row>
    <row r="663">
      <c r="H663" s="88"/>
      <c r="I663" s="88"/>
    </row>
    <row r="664">
      <c r="H664" s="88"/>
      <c r="I664" s="88"/>
    </row>
    <row r="665">
      <c r="H665" s="88"/>
      <c r="I665" s="88"/>
    </row>
    <row r="666">
      <c r="H666" s="88"/>
      <c r="I666" s="88"/>
    </row>
    <row r="667">
      <c r="H667" s="88"/>
      <c r="I667" s="88"/>
    </row>
    <row r="668">
      <c r="H668" s="88"/>
      <c r="I668" s="88"/>
    </row>
    <row r="669">
      <c r="H669" s="88"/>
      <c r="I669" s="88"/>
    </row>
    <row r="670">
      <c r="H670" s="88"/>
      <c r="I670" s="88"/>
    </row>
    <row r="671">
      <c r="H671" s="88"/>
      <c r="I671" s="88"/>
    </row>
    <row r="672">
      <c r="H672" s="88"/>
      <c r="I672" s="88"/>
    </row>
    <row r="673">
      <c r="H673" s="88"/>
      <c r="I673" s="88"/>
    </row>
    <row r="674">
      <c r="H674" s="88"/>
      <c r="I674" s="88"/>
    </row>
    <row r="675">
      <c r="H675" s="88"/>
      <c r="I675" s="88"/>
    </row>
    <row r="676">
      <c r="H676" s="88"/>
      <c r="I676" s="88"/>
    </row>
    <row r="677">
      <c r="H677" s="88"/>
      <c r="I677" s="88"/>
    </row>
    <row r="678">
      <c r="H678" s="88"/>
      <c r="I678" s="88"/>
    </row>
    <row r="679">
      <c r="H679" s="88"/>
      <c r="I679" s="88"/>
    </row>
    <row r="680">
      <c r="H680" s="88"/>
      <c r="I680" s="88"/>
    </row>
    <row r="681">
      <c r="H681" s="88"/>
      <c r="I681" s="88"/>
    </row>
    <row r="682">
      <c r="H682" s="88"/>
      <c r="I682" s="88"/>
    </row>
    <row r="683">
      <c r="H683" s="88"/>
      <c r="I683" s="88"/>
    </row>
    <row r="684">
      <c r="H684" s="88"/>
      <c r="I684" s="88"/>
    </row>
    <row r="685">
      <c r="H685" s="88"/>
      <c r="I685" s="88"/>
    </row>
    <row r="686">
      <c r="H686" s="88"/>
      <c r="I686" s="88"/>
    </row>
    <row r="687">
      <c r="H687" s="88"/>
      <c r="I687" s="88"/>
    </row>
    <row r="688">
      <c r="H688" s="88"/>
      <c r="I688" s="88"/>
    </row>
    <row r="689">
      <c r="H689" s="88"/>
      <c r="I689" s="88"/>
    </row>
    <row r="690">
      <c r="H690" s="88"/>
      <c r="I690" s="88"/>
    </row>
    <row r="691">
      <c r="H691" s="88"/>
      <c r="I691" s="88"/>
    </row>
    <row r="692">
      <c r="H692" s="88"/>
      <c r="I692" s="88"/>
    </row>
    <row r="693">
      <c r="H693" s="88"/>
      <c r="I693" s="88"/>
    </row>
    <row r="694">
      <c r="H694" s="88"/>
      <c r="I694" s="88"/>
    </row>
    <row r="695">
      <c r="H695" s="88"/>
      <c r="I695" s="88"/>
    </row>
    <row r="696">
      <c r="H696" s="88"/>
      <c r="I696" s="88"/>
    </row>
    <row r="697">
      <c r="H697" s="88"/>
      <c r="I697" s="88"/>
    </row>
    <row r="698">
      <c r="H698" s="88"/>
      <c r="I698" s="88"/>
    </row>
    <row r="699">
      <c r="H699" s="88"/>
      <c r="I699" s="88"/>
    </row>
    <row r="700">
      <c r="H700" s="88"/>
      <c r="I700" s="88"/>
    </row>
    <row r="701">
      <c r="H701" s="88"/>
      <c r="I701" s="88"/>
    </row>
    <row r="702">
      <c r="H702" s="88"/>
      <c r="I702" s="88"/>
    </row>
    <row r="703">
      <c r="H703" s="88"/>
      <c r="I703" s="88"/>
    </row>
    <row r="704">
      <c r="H704" s="88"/>
      <c r="I704" s="88"/>
    </row>
    <row r="705">
      <c r="H705" s="88"/>
      <c r="I705" s="88"/>
    </row>
    <row r="706">
      <c r="H706" s="88"/>
      <c r="I706" s="88"/>
    </row>
    <row r="707">
      <c r="H707" s="88"/>
      <c r="I707" s="88"/>
    </row>
    <row r="708">
      <c r="H708" s="88"/>
      <c r="I708" s="88"/>
    </row>
    <row r="709">
      <c r="H709" s="88"/>
      <c r="I709" s="88"/>
    </row>
    <row r="710">
      <c r="H710" s="88"/>
      <c r="I710" s="88"/>
    </row>
    <row r="711">
      <c r="H711" s="88"/>
      <c r="I711" s="88"/>
    </row>
    <row r="712">
      <c r="H712" s="88"/>
      <c r="I712" s="88"/>
    </row>
    <row r="713">
      <c r="H713" s="88"/>
      <c r="I713" s="88"/>
    </row>
    <row r="714">
      <c r="H714" s="88"/>
      <c r="I714" s="88"/>
    </row>
    <row r="715">
      <c r="H715" s="88"/>
      <c r="I715" s="88"/>
    </row>
    <row r="716">
      <c r="H716" s="88"/>
      <c r="I716" s="88"/>
    </row>
    <row r="717">
      <c r="H717" s="88"/>
      <c r="I717" s="88"/>
    </row>
    <row r="718">
      <c r="H718" s="88"/>
      <c r="I718" s="88"/>
    </row>
    <row r="719">
      <c r="H719" s="88"/>
      <c r="I719" s="88"/>
    </row>
    <row r="720">
      <c r="H720" s="88"/>
      <c r="I720" s="88"/>
    </row>
    <row r="721">
      <c r="H721" s="88"/>
      <c r="I721" s="88"/>
    </row>
    <row r="722">
      <c r="H722" s="88"/>
      <c r="I722" s="88"/>
    </row>
    <row r="723">
      <c r="H723" s="88"/>
      <c r="I723" s="88"/>
    </row>
    <row r="724">
      <c r="H724" s="88"/>
      <c r="I724" s="88"/>
    </row>
    <row r="725">
      <c r="H725" s="88"/>
      <c r="I725" s="88"/>
    </row>
    <row r="726">
      <c r="H726" s="88"/>
      <c r="I726" s="88"/>
    </row>
    <row r="727">
      <c r="H727" s="88"/>
      <c r="I727" s="88"/>
    </row>
    <row r="728">
      <c r="H728" s="88"/>
      <c r="I728" s="88"/>
    </row>
    <row r="729">
      <c r="H729" s="88"/>
      <c r="I729" s="88"/>
    </row>
    <row r="730">
      <c r="H730" s="88"/>
      <c r="I730" s="88"/>
    </row>
    <row r="731">
      <c r="H731" s="88"/>
      <c r="I731" s="88"/>
    </row>
    <row r="732">
      <c r="H732" s="88"/>
      <c r="I732" s="88"/>
    </row>
    <row r="733">
      <c r="H733" s="88"/>
      <c r="I733" s="88"/>
    </row>
    <row r="734">
      <c r="H734" s="88"/>
      <c r="I734" s="88"/>
    </row>
    <row r="735">
      <c r="H735" s="88"/>
      <c r="I735" s="88"/>
    </row>
    <row r="736">
      <c r="H736" s="88"/>
      <c r="I736" s="88"/>
    </row>
    <row r="737">
      <c r="H737" s="88"/>
      <c r="I737" s="88"/>
    </row>
    <row r="738">
      <c r="H738" s="88"/>
      <c r="I738" s="88"/>
    </row>
    <row r="739">
      <c r="H739" s="88"/>
      <c r="I739" s="88"/>
    </row>
    <row r="740">
      <c r="H740" s="88"/>
      <c r="I740" s="88"/>
    </row>
    <row r="741">
      <c r="H741" s="88"/>
      <c r="I741" s="88"/>
    </row>
    <row r="742">
      <c r="H742" s="88"/>
      <c r="I742" s="88"/>
    </row>
    <row r="743">
      <c r="H743" s="88"/>
      <c r="I743" s="88"/>
    </row>
    <row r="744">
      <c r="H744" s="88"/>
      <c r="I744" s="88"/>
    </row>
    <row r="745">
      <c r="H745" s="88"/>
      <c r="I745" s="88"/>
    </row>
    <row r="746">
      <c r="H746" s="88"/>
      <c r="I746" s="88"/>
    </row>
    <row r="747">
      <c r="H747" s="88"/>
      <c r="I747" s="88"/>
    </row>
    <row r="748">
      <c r="H748" s="88"/>
      <c r="I748" s="88"/>
    </row>
    <row r="749">
      <c r="H749" s="88"/>
      <c r="I749" s="88"/>
    </row>
    <row r="750">
      <c r="H750" s="88"/>
      <c r="I750" s="88"/>
    </row>
    <row r="751">
      <c r="H751" s="88"/>
      <c r="I751" s="88"/>
    </row>
    <row r="752">
      <c r="H752" s="88"/>
      <c r="I752" s="88"/>
    </row>
    <row r="753">
      <c r="H753" s="88"/>
      <c r="I753" s="88"/>
    </row>
    <row r="754">
      <c r="H754" s="88"/>
      <c r="I754" s="88"/>
    </row>
    <row r="755">
      <c r="H755" s="88"/>
      <c r="I755" s="88"/>
    </row>
    <row r="756">
      <c r="H756" s="88"/>
      <c r="I756" s="88"/>
    </row>
    <row r="757">
      <c r="H757" s="88"/>
      <c r="I757" s="88"/>
    </row>
    <row r="758">
      <c r="H758" s="88"/>
      <c r="I758" s="88"/>
    </row>
    <row r="759">
      <c r="H759" s="88"/>
      <c r="I759" s="88"/>
    </row>
    <row r="760">
      <c r="H760" s="88"/>
      <c r="I760" s="88"/>
    </row>
    <row r="761">
      <c r="H761" s="88"/>
      <c r="I761" s="88"/>
    </row>
    <row r="762">
      <c r="H762" s="88"/>
      <c r="I762" s="88"/>
    </row>
    <row r="763">
      <c r="H763" s="88"/>
      <c r="I763" s="88"/>
    </row>
    <row r="764">
      <c r="H764" s="88"/>
      <c r="I764" s="88"/>
    </row>
    <row r="765">
      <c r="H765" s="88"/>
      <c r="I765" s="88"/>
    </row>
    <row r="766">
      <c r="H766" s="88"/>
      <c r="I766" s="88"/>
    </row>
    <row r="767">
      <c r="H767" s="88"/>
      <c r="I767" s="88"/>
    </row>
    <row r="768">
      <c r="H768" s="88"/>
      <c r="I768" s="88"/>
    </row>
    <row r="769">
      <c r="H769" s="88"/>
      <c r="I769" s="88"/>
    </row>
    <row r="770">
      <c r="H770" s="88"/>
      <c r="I770" s="88"/>
    </row>
    <row r="771">
      <c r="H771" s="88"/>
      <c r="I771" s="88"/>
    </row>
    <row r="772">
      <c r="H772" s="88"/>
      <c r="I772" s="88"/>
    </row>
    <row r="773">
      <c r="H773" s="88"/>
      <c r="I773" s="88"/>
    </row>
    <row r="774">
      <c r="H774" s="88"/>
      <c r="I774" s="88"/>
    </row>
    <row r="775">
      <c r="H775" s="88"/>
      <c r="I775" s="88"/>
    </row>
    <row r="776">
      <c r="H776" s="88"/>
      <c r="I776" s="88"/>
    </row>
    <row r="777">
      <c r="H777" s="88"/>
      <c r="I777" s="88"/>
    </row>
    <row r="778">
      <c r="H778" s="88"/>
      <c r="I778" s="88"/>
    </row>
    <row r="779">
      <c r="H779" s="88"/>
      <c r="I779" s="88"/>
    </row>
    <row r="780">
      <c r="H780" s="88"/>
      <c r="I780" s="88"/>
    </row>
    <row r="781">
      <c r="H781" s="88"/>
      <c r="I781" s="88"/>
    </row>
    <row r="782">
      <c r="H782" s="88"/>
      <c r="I782" s="88"/>
    </row>
    <row r="783">
      <c r="H783" s="88"/>
      <c r="I783" s="88"/>
    </row>
    <row r="784">
      <c r="H784" s="88"/>
      <c r="I784" s="88"/>
    </row>
    <row r="785">
      <c r="H785" s="88"/>
      <c r="I785" s="88"/>
    </row>
    <row r="786">
      <c r="H786" s="88"/>
      <c r="I786" s="88"/>
    </row>
    <row r="787">
      <c r="H787" s="88"/>
      <c r="I787" s="88"/>
    </row>
    <row r="788">
      <c r="H788" s="88"/>
      <c r="I788" s="88"/>
    </row>
    <row r="789">
      <c r="H789" s="88"/>
      <c r="I789" s="88"/>
    </row>
    <row r="790">
      <c r="H790" s="88"/>
      <c r="I790" s="88"/>
    </row>
    <row r="791">
      <c r="H791" s="88"/>
      <c r="I791" s="88"/>
    </row>
    <row r="792">
      <c r="H792" s="88"/>
      <c r="I792" s="88"/>
    </row>
    <row r="793">
      <c r="H793" s="88"/>
      <c r="I793" s="88"/>
    </row>
    <row r="794">
      <c r="H794" s="88"/>
      <c r="I794" s="88"/>
    </row>
    <row r="795">
      <c r="H795" s="88"/>
      <c r="I795" s="88"/>
    </row>
    <row r="796">
      <c r="H796" s="88"/>
      <c r="I796" s="88"/>
    </row>
    <row r="797">
      <c r="H797" s="88"/>
      <c r="I797" s="88"/>
    </row>
    <row r="798">
      <c r="H798" s="88"/>
      <c r="I798" s="88"/>
    </row>
    <row r="799">
      <c r="H799" s="88"/>
      <c r="I799" s="88"/>
    </row>
    <row r="800">
      <c r="H800" s="88"/>
      <c r="I800" s="88"/>
    </row>
    <row r="801">
      <c r="H801" s="88"/>
      <c r="I801" s="88"/>
    </row>
    <row r="802">
      <c r="H802" s="88"/>
      <c r="I802" s="88"/>
    </row>
    <row r="803">
      <c r="H803" s="88"/>
      <c r="I803" s="88"/>
    </row>
    <row r="804">
      <c r="H804" s="88"/>
      <c r="I804" s="88"/>
    </row>
    <row r="805">
      <c r="H805" s="88"/>
      <c r="I805" s="88"/>
    </row>
    <row r="806">
      <c r="H806" s="88"/>
      <c r="I806" s="88"/>
    </row>
    <row r="807">
      <c r="H807" s="88"/>
      <c r="I807" s="88"/>
    </row>
    <row r="808">
      <c r="H808" s="88"/>
      <c r="I808" s="88"/>
    </row>
    <row r="809">
      <c r="H809" s="88"/>
      <c r="I809" s="88"/>
    </row>
    <row r="810">
      <c r="H810" s="88"/>
      <c r="I810" s="88"/>
    </row>
    <row r="811">
      <c r="H811" s="88"/>
      <c r="I811" s="88"/>
    </row>
    <row r="812">
      <c r="H812" s="88"/>
      <c r="I812" s="88"/>
    </row>
    <row r="813">
      <c r="H813" s="88"/>
      <c r="I813" s="88"/>
    </row>
    <row r="814">
      <c r="H814" s="88"/>
      <c r="I814" s="88"/>
    </row>
    <row r="815">
      <c r="H815" s="88"/>
      <c r="I815" s="88"/>
    </row>
    <row r="816">
      <c r="H816" s="88"/>
      <c r="I816" s="88"/>
    </row>
    <row r="817">
      <c r="H817" s="88"/>
      <c r="I817" s="88"/>
    </row>
    <row r="818">
      <c r="H818" s="88"/>
      <c r="I818" s="88"/>
    </row>
    <row r="819">
      <c r="H819" s="88"/>
      <c r="I819" s="88"/>
    </row>
    <row r="820">
      <c r="H820" s="88"/>
      <c r="I820" s="88"/>
    </row>
    <row r="821">
      <c r="H821" s="88"/>
      <c r="I821" s="88"/>
    </row>
    <row r="822">
      <c r="H822" s="88"/>
      <c r="I822" s="88"/>
    </row>
    <row r="823">
      <c r="H823" s="88"/>
      <c r="I823" s="88"/>
    </row>
    <row r="824">
      <c r="H824" s="88"/>
      <c r="I824" s="88"/>
    </row>
    <row r="825">
      <c r="H825" s="88"/>
      <c r="I825" s="88"/>
    </row>
    <row r="826">
      <c r="H826" s="88"/>
      <c r="I826" s="88"/>
    </row>
    <row r="827">
      <c r="H827" s="88"/>
      <c r="I827" s="88"/>
    </row>
    <row r="828">
      <c r="H828" s="88"/>
      <c r="I828" s="88"/>
    </row>
    <row r="829">
      <c r="H829" s="88"/>
      <c r="I829" s="88"/>
    </row>
    <row r="830">
      <c r="H830" s="88"/>
      <c r="I830" s="88"/>
    </row>
    <row r="831">
      <c r="H831" s="88"/>
      <c r="I831" s="88"/>
    </row>
    <row r="832">
      <c r="H832" s="88"/>
      <c r="I832" s="88"/>
    </row>
    <row r="833">
      <c r="H833" s="88"/>
      <c r="I833" s="88"/>
    </row>
    <row r="834">
      <c r="H834" s="88"/>
      <c r="I834" s="88"/>
    </row>
    <row r="835">
      <c r="H835" s="88"/>
      <c r="I835" s="88"/>
    </row>
    <row r="836">
      <c r="H836" s="88"/>
      <c r="I836" s="88"/>
    </row>
    <row r="837">
      <c r="H837" s="88"/>
      <c r="I837" s="88"/>
    </row>
    <row r="838">
      <c r="H838" s="88"/>
      <c r="I838" s="88"/>
    </row>
    <row r="839">
      <c r="H839" s="88"/>
      <c r="I839" s="88"/>
    </row>
    <row r="840">
      <c r="H840" s="88"/>
      <c r="I840" s="88"/>
    </row>
    <row r="841">
      <c r="H841" s="88"/>
      <c r="I841" s="88"/>
    </row>
    <row r="842">
      <c r="H842" s="88"/>
      <c r="I842" s="88"/>
    </row>
    <row r="843">
      <c r="H843" s="88"/>
      <c r="I843" s="88"/>
    </row>
    <row r="844">
      <c r="H844" s="88"/>
      <c r="I844" s="88"/>
    </row>
    <row r="845">
      <c r="H845" s="88"/>
      <c r="I845" s="88"/>
    </row>
    <row r="846">
      <c r="H846" s="88"/>
      <c r="I846" s="88"/>
    </row>
    <row r="847">
      <c r="H847" s="88"/>
      <c r="I847" s="88"/>
    </row>
    <row r="848">
      <c r="H848" s="88"/>
      <c r="I848" s="88"/>
    </row>
    <row r="849">
      <c r="H849" s="88"/>
      <c r="I849" s="88"/>
    </row>
    <row r="850">
      <c r="H850" s="88"/>
      <c r="I850" s="88"/>
    </row>
    <row r="851">
      <c r="H851" s="88"/>
      <c r="I851" s="88"/>
    </row>
    <row r="852">
      <c r="H852" s="88"/>
      <c r="I852" s="88"/>
    </row>
    <row r="853">
      <c r="H853" s="88"/>
      <c r="I853" s="88"/>
    </row>
    <row r="854">
      <c r="H854" s="88"/>
      <c r="I854" s="88"/>
    </row>
    <row r="855">
      <c r="H855" s="88"/>
      <c r="I855" s="88"/>
    </row>
    <row r="856">
      <c r="H856" s="88"/>
      <c r="I856" s="88"/>
    </row>
    <row r="857">
      <c r="H857" s="88"/>
      <c r="I857" s="88"/>
    </row>
    <row r="858">
      <c r="H858" s="88"/>
      <c r="I858" s="88"/>
    </row>
    <row r="859">
      <c r="H859" s="88"/>
      <c r="I859" s="88"/>
    </row>
    <row r="860">
      <c r="H860" s="88"/>
      <c r="I860" s="88"/>
    </row>
    <row r="861">
      <c r="H861" s="88"/>
      <c r="I861" s="88"/>
    </row>
    <row r="862">
      <c r="H862" s="88"/>
      <c r="I862" s="88"/>
    </row>
    <row r="863">
      <c r="H863" s="88"/>
      <c r="I863" s="88"/>
    </row>
    <row r="864">
      <c r="H864" s="88"/>
      <c r="I864" s="88"/>
    </row>
    <row r="865">
      <c r="H865" s="88"/>
      <c r="I865" s="88"/>
    </row>
    <row r="866">
      <c r="H866" s="88"/>
      <c r="I866" s="88"/>
    </row>
    <row r="867">
      <c r="H867" s="88"/>
      <c r="I867" s="88"/>
    </row>
    <row r="868">
      <c r="H868" s="88"/>
      <c r="I868" s="88"/>
    </row>
    <row r="869">
      <c r="H869" s="88"/>
      <c r="I869" s="88"/>
    </row>
    <row r="870">
      <c r="H870" s="88"/>
      <c r="I870" s="88"/>
    </row>
    <row r="871">
      <c r="H871" s="88"/>
      <c r="I871" s="88"/>
    </row>
    <row r="872">
      <c r="H872" s="88"/>
      <c r="I872" s="88"/>
    </row>
    <row r="873">
      <c r="H873" s="88"/>
      <c r="I873" s="88"/>
    </row>
    <row r="874">
      <c r="H874" s="88"/>
      <c r="I874" s="88"/>
    </row>
    <row r="875">
      <c r="H875" s="88"/>
      <c r="I875" s="88"/>
    </row>
    <row r="876">
      <c r="H876" s="88"/>
      <c r="I876" s="88"/>
    </row>
    <row r="877">
      <c r="H877" s="88"/>
      <c r="I877" s="88"/>
    </row>
    <row r="878">
      <c r="H878" s="88"/>
      <c r="I878" s="88"/>
    </row>
    <row r="879">
      <c r="H879" s="88"/>
      <c r="I879" s="88"/>
    </row>
    <row r="880">
      <c r="H880" s="88"/>
      <c r="I880" s="88"/>
    </row>
    <row r="881">
      <c r="H881" s="88"/>
      <c r="I881" s="88"/>
    </row>
    <row r="882">
      <c r="H882" s="88"/>
      <c r="I882" s="88"/>
    </row>
    <row r="883">
      <c r="H883" s="88"/>
      <c r="I883" s="88"/>
    </row>
    <row r="884">
      <c r="H884" s="88"/>
      <c r="I884" s="88"/>
    </row>
    <row r="885">
      <c r="H885" s="88"/>
      <c r="I885" s="88"/>
    </row>
    <row r="886">
      <c r="H886" s="88"/>
      <c r="I886" s="88"/>
    </row>
    <row r="887">
      <c r="H887" s="88"/>
      <c r="I887" s="88"/>
    </row>
    <row r="888">
      <c r="H888" s="88"/>
      <c r="I888" s="88"/>
    </row>
    <row r="889">
      <c r="H889" s="88"/>
      <c r="I889" s="88"/>
    </row>
    <row r="890">
      <c r="H890" s="88"/>
      <c r="I890" s="88"/>
    </row>
    <row r="891">
      <c r="H891" s="88"/>
      <c r="I891" s="88"/>
    </row>
    <row r="892">
      <c r="H892" s="88"/>
      <c r="I892" s="88"/>
    </row>
    <row r="893">
      <c r="H893" s="88"/>
      <c r="I893" s="88"/>
    </row>
    <row r="894">
      <c r="H894" s="88"/>
      <c r="I894" s="88"/>
    </row>
    <row r="895">
      <c r="H895" s="88"/>
      <c r="I895" s="88"/>
    </row>
    <row r="896">
      <c r="H896" s="88"/>
      <c r="I896" s="88"/>
    </row>
    <row r="897">
      <c r="H897" s="88"/>
      <c r="I897" s="88"/>
    </row>
    <row r="898">
      <c r="H898" s="88"/>
      <c r="I898" s="88"/>
    </row>
    <row r="899">
      <c r="H899" s="88"/>
      <c r="I899" s="88"/>
    </row>
    <row r="900">
      <c r="H900" s="88"/>
      <c r="I900" s="88"/>
    </row>
    <row r="901">
      <c r="H901" s="88"/>
      <c r="I901" s="88"/>
    </row>
    <row r="902">
      <c r="H902" s="88"/>
      <c r="I902" s="88"/>
    </row>
    <row r="903">
      <c r="H903" s="88"/>
      <c r="I903" s="88"/>
    </row>
    <row r="904">
      <c r="H904" s="88"/>
      <c r="I904" s="88"/>
    </row>
    <row r="905">
      <c r="H905" s="88"/>
      <c r="I905" s="88"/>
    </row>
    <row r="906">
      <c r="H906" s="88"/>
      <c r="I906" s="88"/>
    </row>
    <row r="907">
      <c r="H907" s="88"/>
      <c r="I907" s="88"/>
    </row>
    <row r="908">
      <c r="H908" s="88"/>
      <c r="I908" s="88"/>
    </row>
    <row r="909">
      <c r="H909" s="88"/>
      <c r="I909" s="88"/>
    </row>
    <row r="910">
      <c r="H910" s="88"/>
      <c r="I910" s="88"/>
    </row>
    <row r="911">
      <c r="H911" s="88"/>
      <c r="I911" s="88"/>
    </row>
    <row r="912">
      <c r="H912" s="88"/>
      <c r="I912" s="88"/>
    </row>
    <row r="913">
      <c r="H913" s="88"/>
      <c r="I913" s="88"/>
    </row>
    <row r="914">
      <c r="H914" s="88"/>
      <c r="I914" s="88"/>
    </row>
    <row r="915">
      <c r="H915" s="88"/>
      <c r="I915" s="88"/>
    </row>
    <row r="916">
      <c r="H916" s="88"/>
      <c r="I916" s="88"/>
    </row>
    <row r="917">
      <c r="H917" s="88"/>
      <c r="I917" s="88"/>
    </row>
    <row r="918">
      <c r="H918" s="88"/>
      <c r="I918" s="88"/>
    </row>
    <row r="919">
      <c r="H919" s="88"/>
      <c r="I919" s="88"/>
    </row>
    <row r="920">
      <c r="H920" s="88"/>
      <c r="I920" s="88"/>
    </row>
    <row r="921">
      <c r="H921" s="88"/>
      <c r="I921" s="88"/>
    </row>
    <row r="922">
      <c r="H922" s="88"/>
      <c r="I922" s="88"/>
    </row>
    <row r="923">
      <c r="H923" s="88"/>
      <c r="I923" s="88"/>
    </row>
    <row r="924">
      <c r="H924" s="88"/>
      <c r="I924" s="88"/>
    </row>
    <row r="925">
      <c r="H925" s="88"/>
      <c r="I925" s="88"/>
    </row>
    <row r="926">
      <c r="H926" s="88"/>
      <c r="I926" s="88"/>
    </row>
    <row r="927">
      <c r="H927" s="88"/>
      <c r="I927" s="88"/>
    </row>
    <row r="928">
      <c r="H928" s="88"/>
      <c r="I928" s="88"/>
    </row>
    <row r="929">
      <c r="H929" s="88"/>
      <c r="I929" s="88"/>
    </row>
    <row r="930">
      <c r="H930" s="88"/>
      <c r="I930" s="88"/>
    </row>
    <row r="931">
      <c r="H931" s="88"/>
      <c r="I931" s="88"/>
    </row>
    <row r="932">
      <c r="H932" s="88"/>
      <c r="I932" s="88"/>
    </row>
    <row r="933">
      <c r="H933" s="88"/>
      <c r="I933" s="88"/>
    </row>
    <row r="934">
      <c r="H934" s="88"/>
      <c r="I934" s="88"/>
    </row>
    <row r="935">
      <c r="H935" s="88"/>
      <c r="I935" s="88"/>
    </row>
    <row r="936">
      <c r="H936" s="88"/>
      <c r="I936" s="88"/>
    </row>
    <row r="937">
      <c r="H937" s="88"/>
      <c r="I937" s="88"/>
    </row>
    <row r="938">
      <c r="H938" s="88"/>
      <c r="I938" s="88"/>
    </row>
    <row r="939">
      <c r="H939" s="88"/>
      <c r="I939" s="88"/>
    </row>
    <row r="940">
      <c r="H940" s="88"/>
      <c r="I940" s="88"/>
    </row>
    <row r="941">
      <c r="H941" s="88"/>
      <c r="I941" s="88"/>
    </row>
    <row r="942">
      <c r="H942" s="88"/>
      <c r="I942" s="88"/>
    </row>
    <row r="943">
      <c r="H943" s="88"/>
      <c r="I943" s="88"/>
    </row>
    <row r="944">
      <c r="H944" s="88"/>
      <c r="I944" s="88"/>
    </row>
    <row r="945">
      <c r="H945" s="88"/>
      <c r="I945" s="88"/>
    </row>
    <row r="946">
      <c r="H946" s="88"/>
      <c r="I946" s="88"/>
    </row>
    <row r="947">
      <c r="H947" s="88"/>
      <c r="I947" s="88"/>
    </row>
    <row r="948">
      <c r="H948" s="88"/>
      <c r="I948" s="88"/>
    </row>
    <row r="949">
      <c r="H949" s="88"/>
      <c r="I949" s="88"/>
    </row>
    <row r="950">
      <c r="H950" s="88"/>
      <c r="I950" s="88"/>
    </row>
    <row r="951">
      <c r="H951" s="88"/>
      <c r="I951" s="88"/>
    </row>
    <row r="952">
      <c r="H952" s="88"/>
      <c r="I952" s="88"/>
    </row>
    <row r="953">
      <c r="H953" s="88"/>
      <c r="I953" s="88"/>
    </row>
    <row r="954">
      <c r="H954" s="88"/>
      <c r="I954" s="88"/>
    </row>
    <row r="955">
      <c r="H955" s="88"/>
      <c r="I955" s="88"/>
    </row>
    <row r="956">
      <c r="H956" s="88"/>
      <c r="I956" s="88"/>
    </row>
    <row r="957">
      <c r="H957" s="88"/>
      <c r="I957" s="88"/>
    </row>
    <row r="958">
      <c r="H958" s="88"/>
      <c r="I958" s="88"/>
    </row>
    <row r="959">
      <c r="H959" s="88"/>
      <c r="I959" s="88"/>
    </row>
    <row r="960">
      <c r="H960" s="88"/>
      <c r="I960" s="88"/>
    </row>
    <row r="961">
      <c r="H961" s="88"/>
      <c r="I961" s="88"/>
    </row>
    <row r="962">
      <c r="H962" s="88"/>
      <c r="I962" s="88"/>
    </row>
    <row r="963">
      <c r="H963" s="88"/>
      <c r="I963" s="88"/>
    </row>
    <row r="964">
      <c r="H964" s="88"/>
      <c r="I964" s="88"/>
    </row>
    <row r="965">
      <c r="H965" s="88"/>
      <c r="I965" s="88"/>
    </row>
    <row r="966">
      <c r="H966" s="88"/>
      <c r="I966" s="88"/>
    </row>
    <row r="967">
      <c r="H967" s="88"/>
      <c r="I967" s="88"/>
    </row>
    <row r="968">
      <c r="H968" s="88"/>
      <c r="I968" s="88"/>
    </row>
    <row r="969">
      <c r="H969" s="88"/>
      <c r="I969" s="88"/>
    </row>
    <row r="970">
      <c r="H970" s="88"/>
      <c r="I970" s="88"/>
    </row>
    <row r="971">
      <c r="H971" s="88"/>
      <c r="I971" s="88"/>
    </row>
    <row r="972">
      <c r="H972" s="88"/>
      <c r="I972" s="88"/>
    </row>
    <row r="973">
      <c r="H973" s="88"/>
      <c r="I973" s="88"/>
    </row>
    <row r="974">
      <c r="H974" s="88"/>
      <c r="I974" s="88"/>
    </row>
    <row r="975">
      <c r="H975" s="88"/>
      <c r="I975" s="88"/>
    </row>
    <row r="976">
      <c r="H976" s="88"/>
      <c r="I976" s="88"/>
    </row>
    <row r="977">
      <c r="H977" s="88"/>
      <c r="I977" s="88"/>
    </row>
    <row r="978">
      <c r="H978" s="88"/>
      <c r="I978" s="88"/>
    </row>
    <row r="979">
      <c r="H979" s="88"/>
      <c r="I979" s="88"/>
    </row>
    <row r="980">
      <c r="H980" s="88"/>
      <c r="I980" s="88"/>
    </row>
    <row r="981">
      <c r="H981" s="88"/>
      <c r="I981" s="88"/>
    </row>
    <row r="982">
      <c r="H982" s="88"/>
      <c r="I982" s="88"/>
    </row>
    <row r="983">
      <c r="H983" s="88"/>
      <c r="I983" s="88"/>
    </row>
    <row r="984">
      <c r="H984" s="88"/>
      <c r="I984" s="88"/>
    </row>
    <row r="985">
      <c r="H985" s="88"/>
      <c r="I985" s="88"/>
    </row>
    <row r="986">
      <c r="H986" s="88"/>
      <c r="I986" s="88"/>
    </row>
    <row r="987">
      <c r="H987" s="88"/>
      <c r="I987" s="88"/>
    </row>
    <row r="988">
      <c r="H988" s="88"/>
      <c r="I988" s="88"/>
    </row>
    <row r="989">
      <c r="H989" s="88"/>
      <c r="I989" s="88"/>
    </row>
    <row r="990">
      <c r="H990" s="88"/>
      <c r="I990" s="88"/>
    </row>
    <row r="991">
      <c r="H991" s="88"/>
      <c r="I991" s="88"/>
    </row>
    <row r="992">
      <c r="H992" s="88"/>
      <c r="I992" s="88"/>
    </row>
    <row r="993">
      <c r="H993" s="88"/>
      <c r="I993" s="88"/>
    </row>
    <row r="994">
      <c r="H994" s="88"/>
      <c r="I994" s="88"/>
    </row>
    <row r="995">
      <c r="H995" s="88"/>
      <c r="I995" s="88"/>
    </row>
    <row r="996">
      <c r="H996" s="88"/>
      <c r="I996" s="88"/>
    </row>
    <row r="997">
      <c r="H997" s="88"/>
      <c r="I997" s="88"/>
    </row>
    <row r="998">
      <c r="H998" s="88"/>
      <c r="I998" s="88"/>
    </row>
    <row r="999">
      <c r="H999" s="88"/>
      <c r="I999" s="88"/>
    </row>
    <row r="1000">
      <c r="H1000" s="88"/>
      <c r="I1000" s="88"/>
    </row>
    <row r="1001">
      <c r="H1001" s="88"/>
      <c r="I1001" s="88"/>
    </row>
    <row r="1002">
      <c r="H1002" s="88"/>
      <c r="I1002" s="88"/>
    </row>
    <row r="1003">
      <c r="H1003" s="88"/>
      <c r="I1003" s="88"/>
    </row>
    <row r="1004">
      <c r="H1004" s="88"/>
      <c r="I1004" s="88"/>
    </row>
    <row r="1005">
      <c r="H1005" s="88"/>
      <c r="I1005" s="88"/>
    </row>
    <row r="1006">
      <c r="H1006" s="88"/>
      <c r="I1006" s="88"/>
    </row>
    <row r="1007">
      <c r="H1007" s="88"/>
      <c r="I1007" s="88"/>
    </row>
    <row r="1008">
      <c r="H1008" s="88"/>
      <c r="I1008" s="88"/>
    </row>
    <row r="1009">
      <c r="H1009" s="88"/>
      <c r="I1009" s="88"/>
    </row>
    <row r="1010">
      <c r="H1010" s="88"/>
      <c r="I1010" s="88"/>
    </row>
    <row r="1011">
      <c r="H1011" s="88"/>
      <c r="I1011" s="88"/>
    </row>
    <row r="1012">
      <c r="H1012" s="88"/>
      <c r="I1012" s="88"/>
    </row>
    <row r="1013">
      <c r="H1013" s="88"/>
      <c r="I1013" s="88"/>
    </row>
    <row r="1014">
      <c r="H1014" s="88"/>
      <c r="I1014" s="88"/>
    </row>
    <row r="1015">
      <c r="H1015" s="88"/>
      <c r="I1015" s="88"/>
    </row>
  </sheetData>
  <mergeCells count="7">
    <mergeCell ref="B9:C9"/>
    <mergeCell ref="F9:G9"/>
    <mergeCell ref="H9:I9"/>
    <mergeCell ref="B36:C36"/>
    <mergeCell ref="B65:C65"/>
    <mergeCell ref="H65:I65"/>
    <mergeCell ref="B92:C92"/>
  </mergeCells>
  <conditionalFormatting sqref="B93:B115">
    <cfRule type="cellIs" dxfId="0" priority="1" operator="greaterThan">
      <formula>15</formula>
    </cfRule>
  </conditionalFormatting>
  <conditionalFormatting sqref="B93:B115">
    <cfRule type="cellIs" dxfId="1" priority="2" operator="between">
      <formula>11</formula>
      <formula>15</formula>
    </cfRule>
  </conditionalFormatting>
  <conditionalFormatting sqref="B93:B115">
    <cfRule type="cellIs" dxfId="2" priority="3" operator="between">
      <formula>6</formula>
      <formula>10</formula>
    </cfRule>
  </conditionalFormatting>
  <conditionalFormatting sqref="B93:B115">
    <cfRule type="cellIs" dxfId="3" priority="4" operator="lessThanOrEqual">
      <formula>5</formula>
    </cfRule>
  </conditionalFormatting>
  <conditionalFormatting sqref="D93:D115">
    <cfRule type="cellIs" dxfId="0" priority="5" operator="greaterThan">
      <formula>15</formula>
    </cfRule>
  </conditionalFormatting>
  <conditionalFormatting sqref="D93:D115">
    <cfRule type="cellIs" dxfId="1" priority="6" operator="between">
      <formula>11</formula>
      <formula>15</formula>
    </cfRule>
  </conditionalFormatting>
  <conditionalFormatting sqref="D93:D115">
    <cfRule type="cellIs" dxfId="2" priority="7" operator="between">
      <formula>6</formula>
      <formula>10</formula>
    </cfRule>
  </conditionalFormatting>
  <conditionalFormatting sqref="D93:D115">
    <cfRule type="cellIs" dxfId="3" priority="8" operator="lessThanOrEqual">
      <formula>5</formula>
    </cfRule>
  </conditionalFormatting>
  <conditionalFormatting sqref="E93:E115">
    <cfRule type="cellIs" dxfId="0" priority="9" operator="greaterThanOrEqual">
      <formula>30</formula>
    </cfRule>
  </conditionalFormatting>
  <conditionalFormatting sqref="E93:E115">
    <cfRule type="cellIs" dxfId="1" priority="10" operator="between">
      <formula>29</formula>
      <formula>20</formula>
    </cfRule>
  </conditionalFormatting>
  <conditionalFormatting sqref="E93:E115">
    <cfRule type="cellIs" dxfId="2" priority="11" operator="between">
      <formula>11</formula>
      <formula>19</formula>
    </cfRule>
  </conditionalFormatting>
  <conditionalFormatting sqref="E93:E115">
    <cfRule type="cellIs" dxfId="3" priority="12" operator="lessThanOrEqual">
      <formula>10</formula>
    </cfRule>
  </conditionalFormatting>
  <conditionalFormatting sqref="C93:C115">
    <cfRule type="cellIs" dxfId="3" priority="13" operator="lessThanOrEqual">
      <formula>9</formula>
    </cfRule>
  </conditionalFormatting>
  <conditionalFormatting sqref="C93:C115">
    <cfRule type="cellIs" dxfId="2" priority="14" operator="between">
      <formula>10</formula>
      <formula>17</formula>
    </cfRule>
  </conditionalFormatting>
  <conditionalFormatting sqref="C93:C115">
    <cfRule type="cellIs" dxfId="1" priority="15" operator="between">
      <formula>18</formula>
      <formula>26</formula>
    </cfRule>
  </conditionalFormatting>
  <conditionalFormatting sqref="C93:C115">
    <cfRule type="cellIs" dxfId="0" priority="16" operator="greaterThanOrEqual">
      <formula>27</formula>
    </cfRule>
  </conditionalFormatting>
  <conditionalFormatting sqref="F93:F115">
    <cfRule type="cellIs" dxfId="0" priority="17" operator="greaterThan">
      <formula>110</formula>
    </cfRule>
  </conditionalFormatting>
  <conditionalFormatting sqref="F93:F115">
    <cfRule type="cellIs" dxfId="1" priority="18" operator="between">
      <formula>101</formula>
      <formula>110</formula>
    </cfRule>
  </conditionalFormatting>
  <conditionalFormatting sqref="F93:F115">
    <cfRule type="cellIs" dxfId="4" priority="19" operator="between">
      <formula>91</formula>
      <formula>100</formula>
    </cfRule>
  </conditionalFormatting>
  <conditionalFormatting sqref="F93:F115">
    <cfRule type="cellIs" dxfId="2" priority="20" operator="between">
      <formula>81</formula>
      <formula>90</formula>
    </cfRule>
  </conditionalFormatting>
  <conditionalFormatting sqref="F93:F115">
    <cfRule type="cellIs" dxfId="3" priority="21" operator="lessThanOrEqual">
      <formula>80</formula>
    </cfRule>
  </conditionalFormatting>
  <conditionalFormatting sqref="G93:H115">
    <cfRule type="cellIs" dxfId="0" priority="22" operator="greaterThan">
      <formula>15</formula>
    </cfRule>
  </conditionalFormatting>
  <conditionalFormatting sqref="G93:H115">
    <cfRule type="cellIs" dxfId="1" priority="23" operator="between">
      <formula>15</formula>
      <formula>11</formula>
    </cfRule>
  </conditionalFormatting>
  <conditionalFormatting sqref="G93:H115">
    <cfRule type="cellIs" dxfId="2" priority="24" operator="between">
      <formula>10</formula>
      <formula>6</formula>
    </cfRule>
  </conditionalFormatting>
  <conditionalFormatting sqref="G93:H115">
    <cfRule type="cellIs" dxfId="3" priority="25" operator="lessThanOrEqual">
      <formula>5</formula>
    </cfRule>
  </conditionalFormatting>
  <conditionalFormatting sqref="I93:I115">
    <cfRule type="cellIs" dxfId="3" priority="26" operator="lessThanOrEqual">
      <formula>7</formula>
    </cfRule>
  </conditionalFormatting>
  <conditionalFormatting sqref="I93:I115">
    <cfRule type="cellIs" dxfId="2" priority="27" operator="between">
      <formula>8</formula>
      <formula>15</formula>
    </cfRule>
  </conditionalFormatting>
  <conditionalFormatting sqref="I93:I115">
    <cfRule type="cellIs" dxfId="1" priority="28" operator="between">
      <formula>16</formula>
      <formula>22</formula>
    </cfRule>
  </conditionalFormatting>
  <conditionalFormatting sqref="I93:I115">
    <cfRule type="cellIs" dxfId="0" priority="29" operator="greaterThanOrEqual">
      <formula>23</formula>
    </cfRule>
  </conditionalFormatting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sheetData>
    <row r="1">
      <c r="A1" s="99" t="s">
        <v>199</v>
      </c>
      <c r="E1" s="99"/>
      <c r="G1" s="181" t="s">
        <v>163</v>
      </c>
      <c r="K1" s="99"/>
      <c r="M1" s="181" t="s">
        <v>196</v>
      </c>
      <c r="S1" s="181" t="s">
        <v>192</v>
      </c>
      <c r="W1" s="99"/>
    </row>
    <row r="2">
      <c r="A2" s="26"/>
      <c r="B2" s="87" t="s">
        <v>151</v>
      </c>
      <c r="D2" s="87"/>
      <c r="E2" s="87"/>
      <c r="G2" s="182"/>
      <c r="H2" s="87" t="s">
        <v>151</v>
      </c>
      <c r="J2" s="87"/>
      <c r="K2" s="87"/>
      <c r="M2" s="182"/>
      <c r="N2" s="87" t="s">
        <v>151</v>
      </c>
      <c r="P2" s="87"/>
      <c r="S2" s="182"/>
      <c r="T2" s="87" t="s">
        <v>151</v>
      </c>
      <c r="V2" s="87"/>
      <c r="W2" s="87"/>
    </row>
    <row r="3">
      <c r="A3" s="26"/>
      <c r="B3" s="101" t="s">
        <v>200</v>
      </c>
      <c r="C3" s="101" t="s">
        <v>157</v>
      </c>
      <c r="D3" s="102" t="s">
        <v>158</v>
      </c>
      <c r="E3" s="102" t="s">
        <v>201</v>
      </c>
      <c r="G3" s="182"/>
      <c r="H3" s="101" t="s">
        <v>200</v>
      </c>
      <c r="I3" s="101" t="s">
        <v>157</v>
      </c>
      <c r="J3" s="102" t="s">
        <v>158</v>
      </c>
      <c r="K3" s="102" t="s">
        <v>201</v>
      </c>
      <c r="M3" s="182"/>
      <c r="N3" s="101" t="s">
        <v>200</v>
      </c>
      <c r="O3" s="101" t="s">
        <v>157</v>
      </c>
      <c r="P3" s="102" t="s">
        <v>158</v>
      </c>
      <c r="Q3" s="102" t="s">
        <v>201</v>
      </c>
      <c r="S3" s="183" t="s">
        <v>202</v>
      </c>
      <c r="T3" s="101" t="s">
        <v>200</v>
      </c>
      <c r="U3" s="101" t="s">
        <v>157</v>
      </c>
      <c r="V3" s="102" t="s">
        <v>158</v>
      </c>
      <c r="W3" s="102" t="s">
        <v>201</v>
      </c>
    </row>
    <row r="4">
      <c r="A4" s="184" t="s">
        <v>9</v>
      </c>
      <c r="B4" s="185">
        <v>3.0</v>
      </c>
      <c r="C4" s="185">
        <v>7.0</v>
      </c>
      <c r="D4" s="185">
        <v>6.0</v>
      </c>
      <c r="E4" s="176">
        <v>11.0</v>
      </c>
      <c r="G4" s="186" t="s">
        <v>165</v>
      </c>
      <c r="H4" s="135" t="s">
        <v>166</v>
      </c>
      <c r="I4" s="136"/>
      <c r="J4" s="136"/>
      <c r="K4" s="135">
        <v>16.0</v>
      </c>
      <c r="M4" s="6" t="s">
        <v>7</v>
      </c>
      <c r="N4" s="172">
        <v>5.0</v>
      </c>
      <c r="O4" s="172">
        <v>9.0</v>
      </c>
      <c r="P4" s="172">
        <v>12.0</v>
      </c>
      <c r="Q4" s="187"/>
      <c r="R4" s="187"/>
      <c r="S4" s="159" t="s">
        <v>11</v>
      </c>
      <c r="T4" s="160">
        <v>5.0</v>
      </c>
      <c r="U4" s="160">
        <v>10.0</v>
      </c>
      <c r="V4" s="160">
        <v>11.0</v>
      </c>
      <c r="W4" s="160">
        <v>20.0</v>
      </c>
    </row>
    <row r="5">
      <c r="A5" s="184" t="s">
        <v>17</v>
      </c>
      <c r="B5" s="185">
        <v>4.0</v>
      </c>
      <c r="C5" s="185">
        <v>8.0</v>
      </c>
      <c r="D5" s="185">
        <v>13.0</v>
      </c>
      <c r="E5" s="176">
        <v>19.0</v>
      </c>
      <c r="G5" s="186" t="s">
        <v>167</v>
      </c>
      <c r="H5" s="135">
        <v>8.0</v>
      </c>
      <c r="I5" s="135">
        <v>13.0</v>
      </c>
      <c r="J5" s="135">
        <v>9.0</v>
      </c>
      <c r="K5" s="135">
        <v>20.0</v>
      </c>
      <c r="M5" s="6" t="s">
        <v>16</v>
      </c>
      <c r="N5" s="172">
        <v>12.0</v>
      </c>
      <c r="O5" s="173"/>
      <c r="P5" s="173"/>
      <c r="Q5" s="187"/>
      <c r="R5" s="187"/>
      <c r="S5" s="128" t="s">
        <v>18</v>
      </c>
      <c r="T5" s="160">
        <v>12.0</v>
      </c>
      <c r="U5" s="160">
        <v>18.0</v>
      </c>
      <c r="V5" s="160">
        <v>18.0</v>
      </c>
      <c r="W5" s="160">
        <v>32.0</v>
      </c>
    </row>
    <row r="6">
      <c r="A6" s="184" t="s">
        <v>22</v>
      </c>
      <c r="B6" s="185">
        <v>2.0</v>
      </c>
      <c r="C6" s="185">
        <v>13.0</v>
      </c>
      <c r="D6" s="185">
        <v>12.0</v>
      </c>
      <c r="E6" s="176">
        <v>26.0</v>
      </c>
      <c r="G6" s="186" t="s">
        <v>168</v>
      </c>
      <c r="H6" s="135">
        <v>12.0</v>
      </c>
      <c r="I6" s="135">
        <v>16.0</v>
      </c>
      <c r="J6" s="188"/>
      <c r="K6" s="135">
        <v>31.0</v>
      </c>
      <c r="M6" s="6" t="s">
        <v>21</v>
      </c>
      <c r="N6" s="172">
        <v>3.0</v>
      </c>
      <c r="O6" s="173"/>
      <c r="P6" s="173"/>
      <c r="Q6" s="187"/>
      <c r="R6" s="187"/>
      <c r="S6" s="128" t="s">
        <v>23</v>
      </c>
      <c r="T6" s="160">
        <v>8.0</v>
      </c>
      <c r="U6" s="160">
        <v>8.0</v>
      </c>
      <c r="V6" s="160">
        <v>4.0</v>
      </c>
      <c r="W6" s="160">
        <v>19.0</v>
      </c>
    </row>
    <row r="7">
      <c r="A7" s="184" t="s">
        <v>25</v>
      </c>
      <c r="B7" s="185">
        <v>5.0</v>
      </c>
      <c r="C7" s="185">
        <v>7.0</v>
      </c>
      <c r="D7" s="185">
        <v>5.0</v>
      </c>
      <c r="E7" s="176">
        <v>15.0</v>
      </c>
      <c r="G7" s="186" t="s">
        <v>169</v>
      </c>
      <c r="H7" s="135">
        <v>4.0</v>
      </c>
      <c r="I7" s="135">
        <v>8.0</v>
      </c>
      <c r="J7" s="135">
        <v>15.0</v>
      </c>
      <c r="K7" s="135">
        <v>11.0</v>
      </c>
      <c r="M7" s="6" t="s">
        <v>25</v>
      </c>
      <c r="N7" s="172">
        <v>8.0</v>
      </c>
      <c r="O7" s="172">
        <v>11.0</v>
      </c>
      <c r="P7" s="172">
        <v>16.0</v>
      </c>
      <c r="Q7" s="187"/>
      <c r="R7" s="187"/>
      <c r="S7" s="128" t="s">
        <v>26</v>
      </c>
      <c r="T7" s="160">
        <v>4.0</v>
      </c>
      <c r="U7" s="160">
        <v>13.0</v>
      </c>
      <c r="V7" s="160">
        <v>11.0</v>
      </c>
      <c r="W7" s="160">
        <v>16.0</v>
      </c>
    </row>
    <row r="8">
      <c r="A8" s="184" t="s">
        <v>30</v>
      </c>
      <c r="B8" s="185">
        <v>8.0</v>
      </c>
      <c r="C8" s="185">
        <v>6.0</v>
      </c>
      <c r="D8" s="185">
        <v>12.0</v>
      </c>
      <c r="E8" s="189">
        <v>13.0</v>
      </c>
      <c r="G8" s="186" t="s">
        <v>170</v>
      </c>
      <c r="H8" s="135">
        <v>12.0</v>
      </c>
      <c r="I8" s="135">
        <v>14.0</v>
      </c>
      <c r="J8" s="135">
        <v>17.0</v>
      </c>
      <c r="K8" s="135">
        <v>23.0</v>
      </c>
      <c r="M8" s="6" t="s">
        <v>29</v>
      </c>
      <c r="N8" s="172">
        <v>4.0</v>
      </c>
      <c r="O8" s="172">
        <v>10.0</v>
      </c>
      <c r="P8" s="172">
        <v>12.0</v>
      </c>
      <c r="Q8" s="187"/>
      <c r="R8" s="187"/>
      <c r="S8" s="159" t="s">
        <v>31</v>
      </c>
      <c r="T8" s="160">
        <v>9.0</v>
      </c>
      <c r="U8" s="160">
        <v>21.0</v>
      </c>
      <c r="V8" s="160">
        <v>16.0</v>
      </c>
      <c r="W8" s="160">
        <v>31.0</v>
      </c>
    </row>
    <row r="9">
      <c r="A9" s="184" t="s">
        <v>34</v>
      </c>
      <c r="B9" s="185">
        <v>9.0</v>
      </c>
      <c r="C9" s="185">
        <v>13.0</v>
      </c>
      <c r="D9" s="185">
        <v>17.0</v>
      </c>
      <c r="E9" s="176">
        <v>29.0</v>
      </c>
      <c r="G9" s="186" t="s">
        <v>171</v>
      </c>
      <c r="H9" s="135">
        <v>3.0</v>
      </c>
      <c r="I9" s="135">
        <v>9.0</v>
      </c>
      <c r="J9" s="135">
        <v>13.0</v>
      </c>
      <c r="K9" s="135">
        <v>18.0</v>
      </c>
      <c r="M9" s="6" t="s">
        <v>33</v>
      </c>
      <c r="N9" s="172">
        <v>3.0</v>
      </c>
      <c r="O9" s="173"/>
      <c r="P9" s="172">
        <v>4.0</v>
      </c>
      <c r="Q9" s="187"/>
      <c r="R9" s="187"/>
      <c r="S9" s="159" t="s">
        <v>35</v>
      </c>
      <c r="T9" s="160">
        <v>4.0</v>
      </c>
      <c r="U9" s="160">
        <v>8.0</v>
      </c>
      <c r="V9" s="160">
        <v>12.0</v>
      </c>
      <c r="W9" s="128"/>
    </row>
    <row r="10">
      <c r="A10" s="184" t="s">
        <v>37</v>
      </c>
      <c r="B10" s="185">
        <v>11.0</v>
      </c>
      <c r="C10" s="185">
        <v>13.0</v>
      </c>
      <c r="D10" s="185">
        <v>17.0</v>
      </c>
      <c r="E10" s="176">
        <v>27.0</v>
      </c>
      <c r="G10" s="186" t="s">
        <v>172</v>
      </c>
      <c r="H10" s="135">
        <v>13.0</v>
      </c>
      <c r="I10" s="135">
        <v>19.0</v>
      </c>
      <c r="J10" s="135">
        <v>18.0</v>
      </c>
      <c r="K10" s="135">
        <v>32.0</v>
      </c>
      <c r="M10" s="6" t="s">
        <v>34</v>
      </c>
      <c r="N10" s="172">
        <v>5.0</v>
      </c>
      <c r="O10" s="172">
        <v>13.0</v>
      </c>
      <c r="P10" s="172">
        <v>15.0</v>
      </c>
      <c r="Q10" s="187"/>
      <c r="R10" s="187"/>
      <c r="S10" s="128" t="s">
        <v>38</v>
      </c>
      <c r="T10" s="160">
        <v>4.0</v>
      </c>
      <c r="U10" s="190"/>
      <c r="V10" s="190"/>
      <c r="W10" s="160">
        <v>13.0</v>
      </c>
    </row>
    <row r="11">
      <c r="A11" s="184" t="s">
        <v>41</v>
      </c>
      <c r="B11" s="185">
        <v>3.0</v>
      </c>
      <c r="C11" s="128"/>
      <c r="D11" s="185">
        <v>12.0</v>
      </c>
      <c r="E11" s="176">
        <v>11.0</v>
      </c>
      <c r="G11" s="186" t="s">
        <v>173</v>
      </c>
      <c r="H11" s="135">
        <v>6.0</v>
      </c>
      <c r="I11" s="135">
        <v>6.0</v>
      </c>
      <c r="J11" s="135">
        <v>8.0</v>
      </c>
      <c r="K11" s="135">
        <v>11.0</v>
      </c>
      <c r="M11" s="6" t="s">
        <v>40</v>
      </c>
      <c r="N11" s="172">
        <v>12.0</v>
      </c>
      <c r="O11" s="172">
        <v>24.0</v>
      </c>
      <c r="P11" s="172">
        <v>20.0</v>
      </c>
      <c r="Q11" s="187"/>
      <c r="R11" s="187"/>
      <c r="S11" s="128" t="s">
        <v>42</v>
      </c>
      <c r="T11" s="160">
        <v>7.0</v>
      </c>
      <c r="U11" s="190"/>
      <c r="V11" s="160">
        <v>17.0</v>
      </c>
      <c r="W11" s="160">
        <v>17.0</v>
      </c>
    </row>
    <row r="12">
      <c r="A12" s="184" t="s">
        <v>45</v>
      </c>
      <c r="B12" s="185">
        <v>15.0</v>
      </c>
      <c r="C12" s="185">
        <v>26.0</v>
      </c>
      <c r="D12" s="185">
        <v>19.0</v>
      </c>
      <c r="E12" s="176">
        <v>34.0</v>
      </c>
      <c r="G12" s="186" t="s">
        <v>174</v>
      </c>
      <c r="H12" s="135">
        <v>8.0</v>
      </c>
      <c r="I12" s="135">
        <v>8.0</v>
      </c>
      <c r="J12" s="135">
        <v>15.0</v>
      </c>
      <c r="K12" s="135">
        <v>14.0</v>
      </c>
      <c r="M12" s="6" t="s">
        <v>44</v>
      </c>
      <c r="N12" s="172">
        <v>2.0</v>
      </c>
      <c r="O12" s="172">
        <v>8.0</v>
      </c>
      <c r="P12" s="172">
        <v>11.0</v>
      </c>
      <c r="Q12" s="187"/>
      <c r="R12" s="187"/>
      <c r="S12" s="159" t="s">
        <v>46</v>
      </c>
      <c r="T12" s="160">
        <v>11.0</v>
      </c>
      <c r="U12" s="160">
        <v>8.0</v>
      </c>
      <c r="V12" s="160">
        <v>15.0</v>
      </c>
      <c r="W12" s="160">
        <v>13.0</v>
      </c>
    </row>
    <row r="13">
      <c r="A13" s="184" t="s">
        <v>50</v>
      </c>
      <c r="B13" s="185">
        <v>8.0</v>
      </c>
      <c r="C13" s="185">
        <v>16.0</v>
      </c>
      <c r="D13" s="185">
        <v>17.0</v>
      </c>
      <c r="E13" s="176">
        <v>17.0</v>
      </c>
      <c r="G13" s="186" t="s">
        <v>175</v>
      </c>
      <c r="H13" s="135">
        <v>4.0</v>
      </c>
      <c r="I13" s="135">
        <v>5.0</v>
      </c>
      <c r="J13" s="191">
        <v>3.0</v>
      </c>
      <c r="K13" s="135">
        <v>11.0</v>
      </c>
      <c r="M13" s="6" t="s">
        <v>49</v>
      </c>
      <c r="N13" s="172">
        <v>4.0</v>
      </c>
      <c r="O13" s="172">
        <v>7.0</v>
      </c>
      <c r="P13" s="172">
        <v>8.0</v>
      </c>
      <c r="Q13" s="187"/>
      <c r="R13" s="187"/>
      <c r="S13" s="128" t="s">
        <v>51</v>
      </c>
      <c r="T13" s="160">
        <v>10.0</v>
      </c>
      <c r="U13" s="160">
        <v>14.0</v>
      </c>
      <c r="V13" s="160">
        <v>18.0</v>
      </c>
      <c r="W13" s="160">
        <v>27.0</v>
      </c>
    </row>
    <row r="14">
      <c r="A14" s="184" t="s">
        <v>55</v>
      </c>
      <c r="B14" s="185">
        <v>4.0</v>
      </c>
      <c r="C14" s="128"/>
      <c r="D14" s="185">
        <v>14.0</v>
      </c>
      <c r="E14" s="128"/>
      <c r="G14" s="186" t="s">
        <v>176</v>
      </c>
      <c r="H14" s="135">
        <v>3.0</v>
      </c>
      <c r="I14" s="135">
        <v>5.0</v>
      </c>
      <c r="J14" s="191">
        <v>2.0</v>
      </c>
      <c r="K14" s="135">
        <v>10.0</v>
      </c>
      <c r="M14" s="6" t="s">
        <v>54</v>
      </c>
      <c r="N14" s="172">
        <v>5.0</v>
      </c>
      <c r="O14" s="172">
        <v>13.0</v>
      </c>
      <c r="P14" s="172">
        <v>15.0</v>
      </c>
      <c r="Q14" s="187"/>
      <c r="R14" s="187"/>
      <c r="S14" s="159" t="s">
        <v>56</v>
      </c>
      <c r="T14" s="160">
        <v>6.0</v>
      </c>
      <c r="U14" s="160">
        <v>7.0</v>
      </c>
      <c r="V14" s="160">
        <v>14.0</v>
      </c>
      <c r="W14" s="128"/>
    </row>
    <row r="15">
      <c r="A15" s="184" t="s">
        <v>60</v>
      </c>
      <c r="B15" s="185">
        <v>4.0</v>
      </c>
      <c r="C15" s="185">
        <v>11.0</v>
      </c>
      <c r="D15" s="185">
        <v>7.0</v>
      </c>
      <c r="E15" s="176">
        <v>12.0</v>
      </c>
      <c r="G15" s="186" t="s">
        <v>177</v>
      </c>
      <c r="H15" s="135">
        <v>12.0</v>
      </c>
      <c r="I15" s="135">
        <v>14.0</v>
      </c>
      <c r="J15" s="188"/>
      <c r="K15" s="135">
        <v>19.0</v>
      </c>
      <c r="M15" s="6" t="s">
        <v>59</v>
      </c>
      <c r="N15" s="172">
        <v>1.0</v>
      </c>
      <c r="O15" s="173"/>
      <c r="P15" s="172">
        <v>8.0</v>
      </c>
      <c r="Q15" s="187"/>
      <c r="R15" s="187"/>
      <c r="S15" s="128" t="s">
        <v>61</v>
      </c>
      <c r="T15" s="160">
        <v>4.0</v>
      </c>
      <c r="U15" s="160">
        <v>9.0</v>
      </c>
      <c r="V15" s="160">
        <v>9.0</v>
      </c>
      <c r="W15" s="160">
        <v>10.0</v>
      </c>
    </row>
    <row r="16">
      <c r="A16" s="184" t="s">
        <v>65</v>
      </c>
      <c r="B16" s="185">
        <v>10.0</v>
      </c>
      <c r="C16" s="185">
        <v>8.0</v>
      </c>
      <c r="D16" s="185">
        <v>17.0</v>
      </c>
      <c r="E16" s="176">
        <v>33.0</v>
      </c>
      <c r="G16" s="186" t="s">
        <v>178</v>
      </c>
      <c r="H16" s="135">
        <v>4.0</v>
      </c>
      <c r="I16" s="135">
        <v>9.0</v>
      </c>
      <c r="J16" s="188"/>
      <c r="K16" s="135">
        <v>16.0</v>
      </c>
      <c r="M16" s="6" t="s">
        <v>64</v>
      </c>
      <c r="N16" s="172">
        <v>8.0</v>
      </c>
      <c r="O16" s="172">
        <v>18.0</v>
      </c>
      <c r="P16" s="172">
        <v>10.0</v>
      </c>
      <c r="Q16" s="187"/>
      <c r="R16" s="187"/>
      <c r="S16" s="159" t="s">
        <v>66</v>
      </c>
      <c r="T16" s="160">
        <v>9.0</v>
      </c>
      <c r="U16" s="160">
        <v>13.0</v>
      </c>
      <c r="V16" s="160">
        <v>18.0</v>
      </c>
      <c r="W16" s="160">
        <v>24.0</v>
      </c>
    </row>
    <row r="17">
      <c r="A17" s="184" t="s">
        <v>21</v>
      </c>
      <c r="B17" s="185">
        <v>12.0</v>
      </c>
      <c r="C17" s="185">
        <v>19.0</v>
      </c>
      <c r="D17" s="185">
        <v>19.0</v>
      </c>
      <c r="E17" s="176">
        <v>29.0</v>
      </c>
      <c r="G17" s="186" t="s">
        <v>179</v>
      </c>
      <c r="H17" s="135">
        <v>4.0</v>
      </c>
      <c r="I17" s="135">
        <v>8.0</v>
      </c>
      <c r="J17" s="135">
        <v>11.0</v>
      </c>
      <c r="K17" s="135">
        <v>12.0</v>
      </c>
      <c r="M17" s="6" t="s">
        <v>50</v>
      </c>
      <c r="N17" s="172">
        <v>14.0</v>
      </c>
      <c r="O17" s="172">
        <v>25.0</v>
      </c>
      <c r="P17" s="172">
        <v>20.0</v>
      </c>
      <c r="Q17" s="187"/>
      <c r="R17" s="187"/>
      <c r="S17" s="159" t="s">
        <v>69</v>
      </c>
      <c r="T17" s="160">
        <v>5.0</v>
      </c>
      <c r="U17" s="160">
        <v>12.0</v>
      </c>
      <c r="V17" s="160">
        <v>14.0</v>
      </c>
      <c r="W17" s="160">
        <v>17.0</v>
      </c>
    </row>
    <row r="18">
      <c r="A18" s="184" t="s">
        <v>71</v>
      </c>
      <c r="B18" s="185">
        <v>4.0</v>
      </c>
      <c r="C18" s="185">
        <v>8.0</v>
      </c>
      <c r="D18" s="185">
        <v>10.0</v>
      </c>
      <c r="E18" s="189">
        <v>10.0</v>
      </c>
      <c r="G18" s="186" t="s">
        <v>180</v>
      </c>
      <c r="H18" s="135">
        <v>7.0</v>
      </c>
      <c r="I18" s="135">
        <v>10.0</v>
      </c>
      <c r="J18" s="135">
        <v>12.0</v>
      </c>
      <c r="K18" s="135">
        <v>14.0</v>
      </c>
      <c r="M18" s="6" t="s">
        <v>58</v>
      </c>
      <c r="N18" s="172">
        <v>5.0</v>
      </c>
      <c r="O18" s="173"/>
      <c r="P18" s="172">
        <v>4.0</v>
      </c>
      <c r="Q18" s="187"/>
      <c r="R18" s="187"/>
      <c r="S18" s="128" t="s">
        <v>72</v>
      </c>
      <c r="T18" s="160">
        <v>7.0</v>
      </c>
      <c r="U18" s="160">
        <v>7.0</v>
      </c>
      <c r="V18" s="160">
        <v>8.0</v>
      </c>
      <c r="W18" s="128"/>
    </row>
    <row r="19">
      <c r="A19" s="184" t="s">
        <v>74</v>
      </c>
      <c r="B19" s="185">
        <v>7.0</v>
      </c>
      <c r="C19" s="185">
        <v>11.0</v>
      </c>
      <c r="D19" s="185">
        <v>18.0</v>
      </c>
      <c r="E19" s="176">
        <v>30.0</v>
      </c>
      <c r="G19" s="186" t="s">
        <v>181</v>
      </c>
      <c r="H19" s="135">
        <v>5.0</v>
      </c>
      <c r="I19" s="135">
        <v>13.0</v>
      </c>
      <c r="J19" s="135">
        <v>12.0</v>
      </c>
      <c r="K19" s="135">
        <v>22.0</v>
      </c>
      <c r="M19" s="6" t="s">
        <v>73</v>
      </c>
      <c r="N19" s="172">
        <v>3.0</v>
      </c>
      <c r="O19" s="172">
        <v>9.0</v>
      </c>
      <c r="P19" s="172">
        <v>14.0</v>
      </c>
      <c r="Q19" s="187"/>
      <c r="R19" s="187"/>
      <c r="S19" s="128" t="s">
        <v>25</v>
      </c>
      <c r="T19" s="160">
        <v>5.0</v>
      </c>
      <c r="U19" s="160">
        <v>11.0</v>
      </c>
      <c r="V19" s="160">
        <v>12.0</v>
      </c>
      <c r="W19" s="160">
        <v>18.0</v>
      </c>
    </row>
    <row r="20">
      <c r="A20" s="184" t="s">
        <v>76</v>
      </c>
      <c r="B20" s="185">
        <v>10.0</v>
      </c>
      <c r="C20" s="185">
        <v>16.0</v>
      </c>
      <c r="D20" s="185">
        <v>17.0</v>
      </c>
      <c r="E20" s="176">
        <v>27.0</v>
      </c>
      <c r="G20" s="186" t="s">
        <v>182</v>
      </c>
      <c r="H20" s="135">
        <v>3.0</v>
      </c>
      <c r="I20" s="135">
        <v>6.0</v>
      </c>
      <c r="J20" s="135">
        <v>12.0</v>
      </c>
      <c r="K20" s="136"/>
      <c r="M20" s="6" t="s">
        <v>75</v>
      </c>
      <c r="N20" s="172">
        <v>4.0</v>
      </c>
      <c r="O20" s="172">
        <v>7.0</v>
      </c>
      <c r="P20" s="172">
        <v>9.0</v>
      </c>
      <c r="Q20" s="187"/>
      <c r="R20" s="187"/>
      <c r="S20" s="128" t="s">
        <v>77</v>
      </c>
      <c r="T20" s="160">
        <v>2.0</v>
      </c>
      <c r="U20" s="160">
        <v>11.0</v>
      </c>
      <c r="V20" s="160">
        <v>15.0</v>
      </c>
      <c r="W20" s="160">
        <v>18.0</v>
      </c>
    </row>
    <row r="21">
      <c r="A21" s="184" t="s">
        <v>80</v>
      </c>
      <c r="B21" s="185">
        <v>6.0</v>
      </c>
      <c r="C21" s="185">
        <v>13.0</v>
      </c>
      <c r="D21" s="185">
        <v>16.0</v>
      </c>
      <c r="E21" s="176">
        <v>27.0</v>
      </c>
      <c r="G21" s="186" t="s">
        <v>183</v>
      </c>
      <c r="H21" s="135">
        <v>9.0</v>
      </c>
      <c r="I21" s="135">
        <v>17.0</v>
      </c>
      <c r="J21" s="135">
        <v>18.0</v>
      </c>
      <c r="K21" s="136"/>
      <c r="M21" s="6" t="s">
        <v>79</v>
      </c>
      <c r="N21" s="172">
        <v>11.0</v>
      </c>
      <c r="O21" s="172">
        <v>11.0</v>
      </c>
      <c r="P21" s="172">
        <v>15.0</v>
      </c>
      <c r="Q21" s="187"/>
      <c r="R21" s="187"/>
      <c r="S21" s="159" t="s">
        <v>81</v>
      </c>
      <c r="T21" s="160">
        <v>10.0</v>
      </c>
      <c r="U21" s="160">
        <v>17.0</v>
      </c>
      <c r="V21" s="160">
        <v>16.0</v>
      </c>
      <c r="W21" s="128"/>
    </row>
    <row r="22">
      <c r="A22" s="184" t="s">
        <v>84</v>
      </c>
      <c r="B22" s="185">
        <v>5.0</v>
      </c>
      <c r="C22" s="185">
        <v>15.0</v>
      </c>
      <c r="D22" s="185">
        <v>16.0</v>
      </c>
      <c r="E22" s="176">
        <v>31.0</v>
      </c>
      <c r="G22" s="186" t="s">
        <v>184</v>
      </c>
      <c r="H22" s="135">
        <v>9.0</v>
      </c>
      <c r="I22" s="135">
        <v>14.0</v>
      </c>
      <c r="J22" s="135">
        <v>17.0</v>
      </c>
      <c r="K22" s="135">
        <v>22.0</v>
      </c>
      <c r="M22" s="6" t="s">
        <v>83</v>
      </c>
      <c r="N22" s="172">
        <v>4.0</v>
      </c>
      <c r="O22" s="172">
        <v>9.0</v>
      </c>
      <c r="P22" s="172">
        <v>13.0</v>
      </c>
      <c r="Q22" s="187"/>
      <c r="R22" s="187"/>
      <c r="S22" s="128" t="s">
        <v>85</v>
      </c>
      <c r="T22" s="160">
        <v>3.0</v>
      </c>
      <c r="U22" s="190"/>
      <c r="V22" s="190"/>
      <c r="W22" s="128"/>
    </row>
    <row r="23">
      <c r="A23" s="184" t="s">
        <v>88</v>
      </c>
      <c r="B23" s="185">
        <v>9.0</v>
      </c>
      <c r="C23" s="185">
        <v>12.0</v>
      </c>
      <c r="D23" s="185">
        <v>16.0</v>
      </c>
      <c r="E23" s="176">
        <v>30.0</v>
      </c>
      <c r="G23" s="186" t="s">
        <v>185</v>
      </c>
      <c r="H23" s="135">
        <v>15.0</v>
      </c>
      <c r="I23" s="135">
        <v>21.0</v>
      </c>
      <c r="J23" s="135">
        <v>14.0</v>
      </c>
      <c r="K23" s="135">
        <v>19.0</v>
      </c>
      <c r="M23" s="6" t="s">
        <v>87</v>
      </c>
      <c r="N23" s="172">
        <v>7.0</v>
      </c>
      <c r="O23" s="172">
        <v>32.0</v>
      </c>
      <c r="P23" s="172">
        <v>20.0</v>
      </c>
      <c r="Q23" s="187"/>
      <c r="R23" s="187"/>
      <c r="S23" s="128" t="s">
        <v>89</v>
      </c>
      <c r="T23" s="160">
        <v>5.0</v>
      </c>
      <c r="U23" s="160">
        <v>9.0</v>
      </c>
      <c r="V23" s="160">
        <v>8.0</v>
      </c>
      <c r="W23" s="160">
        <v>16.0</v>
      </c>
    </row>
    <row r="24">
      <c r="A24" s="184" t="s">
        <v>92</v>
      </c>
      <c r="B24" s="185">
        <v>4.0</v>
      </c>
      <c r="C24" s="185">
        <v>22.0</v>
      </c>
      <c r="D24" s="185">
        <v>16.0</v>
      </c>
      <c r="E24" s="176">
        <v>28.0</v>
      </c>
      <c r="G24" s="186" t="s">
        <v>186</v>
      </c>
      <c r="H24" s="135">
        <v>7.0</v>
      </c>
      <c r="I24" s="135">
        <v>5.0</v>
      </c>
      <c r="J24" s="191">
        <v>5.0</v>
      </c>
      <c r="K24" s="135">
        <v>10.0</v>
      </c>
      <c r="M24" s="6" t="s">
        <v>91</v>
      </c>
      <c r="N24" s="172">
        <v>15.0</v>
      </c>
      <c r="O24" s="173"/>
      <c r="P24" s="172">
        <v>18.0</v>
      </c>
      <c r="Q24" s="187"/>
      <c r="R24" s="187"/>
      <c r="S24" s="159" t="s">
        <v>93</v>
      </c>
      <c r="T24" s="160">
        <v>6.0</v>
      </c>
      <c r="U24" s="160">
        <v>13.0</v>
      </c>
      <c r="V24" s="160">
        <v>17.0</v>
      </c>
      <c r="W24" s="160">
        <v>30.0</v>
      </c>
    </row>
    <row r="25">
      <c r="A25" s="184" t="s">
        <v>96</v>
      </c>
      <c r="B25" s="185">
        <v>5.0</v>
      </c>
      <c r="C25" s="185">
        <v>6.0</v>
      </c>
      <c r="D25" s="185">
        <v>6.0</v>
      </c>
      <c r="E25" s="189">
        <v>9.0</v>
      </c>
      <c r="G25" s="186" t="s">
        <v>187</v>
      </c>
      <c r="H25" s="135">
        <v>17.0</v>
      </c>
      <c r="I25" s="135">
        <v>21.0</v>
      </c>
      <c r="J25" s="135">
        <v>18.0</v>
      </c>
      <c r="K25" s="135">
        <v>28.0</v>
      </c>
      <c r="M25" s="6" t="s">
        <v>95</v>
      </c>
      <c r="N25" s="172">
        <v>13.0</v>
      </c>
      <c r="O25" s="172">
        <v>19.0</v>
      </c>
      <c r="P25" s="172">
        <v>18.0</v>
      </c>
      <c r="Q25" s="187"/>
      <c r="R25" s="187"/>
      <c r="S25" s="128" t="s">
        <v>97</v>
      </c>
      <c r="T25" s="160">
        <v>5.0</v>
      </c>
      <c r="U25" s="160">
        <v>8.0</v>
      </c>
      <c r="V25" s="160">
        <v>12.0</v>
      </c>
      <c r="W25" s="128"/>
    </row>
    <row r="26">
      <c r="A26" s="184" t="s">
        <v>100</v>
      </c>
      <c r="B26" s="185">
        <v>3.0</v>
      </c>
      <c r="C26" s="185">
        <v>11.0</v>
      </c>
      <c r="D26" s="185">
        <v>14.0</v>
      </c>
      <c r="E26" s="176">
        <v>24.0</v>
      </c>
      <c r="G26" s="186" t="s">
        <v>188</v>
      </c>
      <c r="H26" s="135">
        <v>16.0</v>
      </c>
      <c r="I26" s="135">
        <v>13.0</v>
      </c>
      <c r="J26" s="135">
        <v>15.0</v>
      </c>
      <c r="K26" s="135">
        <v>33.0</v>
      </c>
      <c r="M26" s="6" t="s">
        <v>99</v>
      </c>
      <c r="N26" s="172">
        <v>11.0</v>
      </c>
      <c r="O26" s="172">
        <v>8.0</v>
      </c>
      <c r="P26" s="172">
        <v>9.0</v>
      </c>
      <c r="Q26" s="187"/>
      <c r="R26" s="187"/>
      <c r="S26" s="159" t="s">
        <v>101</v>
      </c>
      <c r="T26" s="160">
        <v>7.0</v>
      </c>
      <c r="U26" s="190"/>
      <c r="V26" s="160">
        <v>15.0</v>
      </c>
      <c r="W26" s="160">
        <v>16.0</v>
      </c>
    </row>
    <row r="27">
      <c r="A27" s="131" t="s">
        <v>113</v>
      </c>
      <c r="B27" s="132">
        <f t="shared" ref="B27:E27" si="1">AVERAGE(B4:B26)</f>
        <v>6.565217391</v>
      </c>
      <c r="C27" s="132">
        <f t="shared" si="1"/>
        <v>12.42857143</v>
      </c>
      <c r="D27" s="132">
        <f t="shared" si="1"/>
        <v>13.73913043</v>
      </c>
      <c r="E27" s="132">
        <f t="shared" si="1"/>
        <v>22.36363636</v>
      </c>
      <c r="G27" s="186" t="s">
        <v>189</v>
      </c>
      <c r="H27" s="135">
        <v>15.0</v>
      </c>
      <c r="I27" s="135">
        <v>19.0</v>
      </c>
      <c r="J27" s="135">
        <v>18.0</v>
      </c>
      <c r="K27" s="135">
        <v>32.0</v>
      </c>
      <c r="M27" s="131" t="s">
        <v>113</v>
      </c>
      <c r="N27" s="132">
        <f t="shared" ref="N27:Q27" si="2">AVERAGE(N4:N26)</f>
        <v>6.913043478</v>
      </c>
      <c r="O27" s="132">
        <f t="shared" si="2"/>
        <v>13.70588235</v>
      </c>
      <c r="P27" s="132">
        <f t="shared" si="2"/>
        <v>12.9047619</v>
      </c>
      <c r="Q27" s="132" t="str">
        <f t="shared" si="2"/>
        <v>#DIV/0!</v>
      </c>
      <c r="S27" s="131" t="s">
        <v>113</v>
      </c>
      <c r="T27" s="132">
        <f t="shared" ref="T27:W27" si="3">AVERAGE(T4:T26)</f>
        <v>6.434782609</v>
      </c>
      <c r="U27" s="132">
        <f t="shared" si="3"/>
        <v>11.42105263</v>
      </c>
      <c r="V27" s="132">
        <f t="shared" si="3"/>
        <v>13.33333333</v>
      </c>
      <c r="W27" s="132">
        <f t="shared" si="3"/>
        <v>19.82352941</v>
      </c>
    </row>
    <row r="28">
      <c r="G28" s="186" t="s">
        <v>190</v>
      </c>
      <c r="H28" s="136"/>
      <c r="I28" s="136"/>
      <c r="J28" s="136"/>
      <c r="K28" s="135">
        <v>17.0</v>
      </c>
      <c r="M28" s="182"/>
      <c r="S28" s="182"/>
    </row>
    <row r="29">
      <c r="G29" s="131" t="s">
        <v>113</v>
      </c>
      <c r="H29" s="132">
        <f t="shared" ref="H29:K29" si="4">AVERAGE(H6:H28)</f>
        <v>8.545454545</v>
      </c>
      <c r="I29" s="132">
        <f t="shared" si="4"/>
        <v>11.81818182</v>
      </c>
      <c r="J29" s="132">
        <f t="shared" si="4"/>
        <v>12.78947368</v>
      </c>
      <c r="K29" s="132">
        <f t="shared" si="4"/>
        <v>19.28571429</v>
      </c>
    </row>
  </sheetData>
  <mergeCells count="8">
    <mergeCell ref="A1:D1"/>
    <mergeCell ref="G1:J1"/>
    <mergeCell ref="M1:P1"/>
    <mergeCell ref="S1:V1"/>
    <mergeCell ref="B2:C2"/>
    <mergeCell ref="H2:I2"/>
    <mergeCell ref="N2:O2"/>
    <mergeCell ref="T2:U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sheetData>
    <row r="1">
      <c r="B1" s="192" t="s">
        <v>203</v>
      </c>
      <c r="C1" s="193"/>
      <c r="D1" s="193"/>
      <c r="E1" s="150"/>
    </row>
    <row r="2">
      <c r="A2" s="100" t="s">
        <v>103</v>
      </c>
      <c r="B2" s="194" t="s">
        <v>204</v>
      </c>
      <c r="C2" s="194" t="s">
        <v>205</v>
      </c>
      <c r="D2" s="137"/>
      <c r="E2" s="137"/>
    </row>
    <row r="3">
      <c r="A3" s="195" t="s">
        <v>9</v>
      </c>
      <c r="B3" s="196">
        <v>1.0</v>
      </c>
      <c r="C3" s="196">
        <v>4.0</v>
      </c>
      <c r="D3" s="137"/>
      <c r="E3" s="137"/>
    </row>
    <row r="4">
      <c r="A4" s="195" t="s">
        <v>17</v>
      </c>
      <c r="B4" s="197">
        <v>8.0</v>
      </c>
      <c r="C4" s="197">
        <v>7.0</v>
      </c>
      <c r="D4" s="137"/>
      <c r="E4" s="137"/>
    </row>
    <row r="5">
      <c r="A5" s="195" t="s">
        <v>22</v>
      </c>
      <c r="B5" s="196">
        <v>5.0</v>
      </c>
      <c r="C5" s="197">
        <v>10.0</v>
      </c>
      <c r="D5" s="137"/>
      <c r="E5" s="137"/>
    </row>
    <row r="6">
      <c r="A6" s="195" t="s">
        <v>25</v>
      </c>
      <c r="B6" s="197">
        <v>10.0</v>
      </c>
      <c r="C6" s="197">
        <v>9.0</v>
      </c>
      <c r="D6" s="137"/>
      <c r="E6" s="137"/>
    </row>
    <row r="7">
      <c r="A7" s="195" t="s">
        <v>30</v>
      </c>
      <c r="B7" s="197">
        <v>10.0</v>
      </c>
      <c r="C7" s="197">
        <v>9.0</v>
      </c>
      <c r="D7" s="137"/>
      <c r="E7" s="137"/>
    </row>
    <row r="8">
      <c r="A8" s="195" t="s">
        <v>112</v>
      </c>
      <c r="B8" s="198">
        <v>13.0</v>
      </c>
      <c r="C8" s="197">
        <v>8.0</v>
      </c>
      <c r="D8" s="137"/>
      <c r="E8" s="137"/>
    </row>
    <row r="9">
      <c r="A9" s="195" t="s">
        <v>37</v>
      </c>
      <c r="B9" s="198">
        <v>12.0</v>
      </c>
      <c r="C9" s="196">
        <v>5.0</v>
      </c>
      <c r="D9" s="137"/>
      <c r="E9" s="137"/>
    </row>
    <row r="10">
      <c r="A10" s="195" t="s">
        <v>41</v>
      </c>
      <c r="B10" s="197">
        <v>7.0</v>
      </c>
      <c r="C10" s="197">
        <v>9.0</v>
      </c>
      <c r="D10" s="137"/>
      <c r="E10" s="137"/>
    </row>
    <row r="11">
      <c r="A11" s="195" t="s">
        <v>45</v>
      </c>
      <c r="B11" s="198">
        <v>11.0</v>
      </c>
      <c r="C11" s="197">
        <v>8.0</v>
      </c>
      <c r="D11" s="137"/>
      <c r="E11" s="137"/>
    </row>
    <row r="12">
      <c r="A12" s="195" t="s">
        <v>50</v>
      </c>
      <c r="B12" s="198">
        <v>12.0</v>
      </c>
      <c r="C12" s="196">
        <v>3.0</v>
      </c>
      <c r="D12" s="137"/>
      <c r="E12" s="137"/>
    </row>
    <row r="13">
      <c r="A13" s="195" t="s">
        <v>55</v>
      </c>
      <c r="B13" s="197">
        <v>8.0</v>
      </c>
      <c r="C13" s="198">
        <v>13.0</v>
      </c>
      <c r="D13" s="137"/>
      <c r="E13" s="137"/>
    </row>
    <row r="14">
      <c r="A14" s="195" t="s">
        <v>60</v>
      </c>
      <c r="B14" s="196">
        <v>3.0</v>
      </c>
      <c r="C14" s="197">
        <v>9.0</v>
      </c>
      <c r="D14" s="137"/>
      <c r="E14" s="137"/>
    </row>
    <row r="15">
      <c r="A15" s="195" t="s">
        <v>65</v>
      </c>
      <c r="B15" s="197">
        <v>10.0</v>
      </c>
      <c r="C15" s="198">
        <v>13.0</v>
      </c>
      <c r="D15" s="137"/>
      <c r="E15" s="137"/>
    </row>
    <row r="16">
      <c r="A16" s="195" t="s">
        <v>21</v>
      </c>
      <c r="B16" s="197">
        <v>10.0</v>
      </c>
      <c r="C16" s="198">
        <v>11.0</v>
      </c>
      <c r="D16" s="137"/>
      <c r="E16" s="137"/>
    </row>
    <row r="17">
      <c r="A17" s="195" t="s">
        <v>71</v>
      </c>
      <c r="B17" s="196">
        <v>3.0</v>
      </c>
      <c r="C17" s="196">
        <v>2.0</v>
      </c>
      <c r="D17" s="137"/>
      <c r="E17" s="137"/>
    </row>
    <row r="18">
      <c r="A18" s="195" t="s">
        <v>74</v>
      </c>
      <c r="B18" s="197">
        <v>10.0</v>
      </c>
      <c r="C18" s="197">
        <v>9.0</v>
      </c>
      <c r="D18" s="137"/>
      <c r="E18" s="137"/>
    </row>
    <row r="19">
      <c r="A19" s="195" t="s">
        <v>76</v>
      </c>
      <c r="B19" s="197">
        <v>9.0</v>
      </c>
      <c r="C19" s="197">
        <v>9.0</v>
      </c>
      <c r="D19" s="137"/>
      <c r="E19" s="137"/>
    </row>
    <row r="20">
      <c r="A20" s="195" t="s">
        <v>80</v>
      </c>
      <c r="B20" s="198">
        <v>16.0</v>
      </c>
      <c r="C20" s="199">
        <v>20.0</v>
      </c>
      <c r="D20" s="137"/>
      <c r="E20" s="137"/>
    </row>
    <row r="21">
      <c r="A21" s="195" t="s">
        <v>84</v>
      </c>
      <c r="B21" s="196">
        <v>4.0</v>
      </c>
      <c r="C21" s="197">
        <v>8.0</v>
      </c>
      <c r="D21" s="137"/>
      <c r="E21" s="137"/>
    </row>
    <row r="22">
      <c r="A22" s="195" t="s">
        <v>88</v>
      </c>
      <c r="B22" s="196">
        <v>6.0</v>
      </c>
      <c r="C22" s="197">
        <v>7.0</v>
      </c>
      <c r="D22" s="137"/>
      <c r="E22" s="137"/>
    </row>
    <row r="23">
      <c r="A23" s="195" t="s">
        <v>92</v>
      </c>
      <c r="B23" s="196">
        <v>4.0</v>
      </c>
      <c r="C23" s="197">
        <v>9.0</v>
      </c>
      <c r="D23" s="137"/>
      <c r="E23" s="137"/>
    </row>
    <row r="24">
      <c r="A24" s="195" t="s">
        <v>96</v>
      </c>
      <c r="B24" s="198">
        <v>11.0</v>
      </c>
      <c r="C24" s="197">
        <v>10.0</v>
      </c>
      <c r="D24" s="137"/>
      <c r="E24" s="137"/>
    </row>
    <row r="25">
      <c r="A25" s="195" t="s">
        <v>100</v>
      </c>
      <c r="B25" s="196">
        <v>6.0</v>
      </c>
      <c r="C25" s="198">
        <v>11.0</v>
      </c>
      <c r="D25" s="137"/>
      <c r="E25" s="137"/>
    </row>
    <row r="26">
      <c r="A26" s="131" t="s">
        <v>113</v>
      </c>
      <c r="B26" s="132">
        <f t="shared" ref="B26:E26" si="1">AVERAGE(B3:B25)</f>
        <v>8.217391304</v>
      </c>
      <c r="C26" s="132">
        <f t="shared" si="1"/>
        <v>8.826086957</v>
      </c>
      <c r="D26" s="132" t="str">
        <f t="shared" si="1"/>
        <v>#DIV/0!</v>
      </c>
      <c r="E26" s="132" t="str">
        <f t="shared" si="1"/>
        <v>#DIV/0!</v>
      </c>
    </row>
  </sheetData>
  <mergeCells count="1">
    <mergeCell ref="B1:E1"/>
  </mergeCells>
  <drawing r:id="rId1"/>
</worksheet>
</file>