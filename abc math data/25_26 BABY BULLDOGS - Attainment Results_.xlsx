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Template - All Grades" sheetId="1" r:id="rId4"/>
    <sheet state="visible" name="RECEPTION DATA 2425" sheetId="2" r:id="rId5"/>
  </sheets>
  <definedNames/>
  <calcPr/>
</workbook>
</file>

<file path=xl/sharedStrings.xml><?xml version="1.0" encoding="utf-8"?>
<sst xmlns="http://schemas.openxmlformats.org/spreadsheetml/2006/main" count="803" uniqueCount="155">
  <si>
    <t>Student Names</t>
  </si>
  <si>
    <t>EYFS Assement &amp; Progress Results (Aug 2018 - June 2019)</t>
  </si>
  <si>
    <t>Personal, Social &amp; Emotional Development</t>
  </si>
  <si>
    <t>Physical Develepment</t>
  </si>
  <si>
    <t>Understanding the World</t>
  </si>
  <si>
    <t>Language and Communication - First Language</t>
  </si>
  <si>
    <t>Language and Communication - Additional Language</t>
  </si>
  <si>
    <t>Literacy</t>
  </si>
  <si>
    <t>Mathematics</t>
  </si>
  <si>
    <t>Expressive Arts &amp; Design</t>
  </si>
  <si>
    <t>Music</t>
  </si>
  <si>
    <t>Physical Education</t>
  </si>
  <si>
    <t>Swimming</t>
  </si>
  <si>
    <t>Gender</t>
  </si>
  <si>
    <r>
      <rPr>
        <rFont val="Arial"/>
        <b/>
        <i/>
        <color rgb="FF000000"/>
        <sz val="8.0"/>
      </rPr>
      <t xml:space="preserve">PSE.1 </t>
    </r>
    <r>
      <rPr>
        <rFont val="Arial"/>
        <i/>
        <color rgb="FF000000"/>
        <sz val="6.0"/>
      </rPr>
      <t>- Can play in a group by eloborating and extending ideas</t>
    </r>
  </si>
  <si>
    <t>Gender  Analysis</t>
  </si>
  <si>
    <t>Judgement Score</t>
  </si>
  <si>
    <r>
      <rPr>
        <rFont val="Arial"/>
        <b/>
        <i/>
        <color rgb="FF000000"/>
        <sz val="8.0"/>
      </rPr>
      <t>PSE.2 -</t>
    </r>
    <r>
      <rPr>
        <rFont val="Arial"/>
        <i/>
        <color rgb="FF000000"/>
        <sz val="6.0"/>
      </rPr>
      <t xml:space="preserve"> Forms good relationships with peers and adults</t>
    </r>
  </si>
  <si>
    <r>
      <rPr>
        <rFont val="Arial"/>
        <b/>
        <i/>
        <color rgb="FF000000"/>
        <sz val="8.0"/>
      </rPr>
      <t xml:space="preserve">PSE.3 - </t>
    </r>
    <r>
      <rPr>
        <rFont val="Arial"/>
        <i/>
        <color rgb="FF000000"/>
        <sz val="6.0"/>
      </rPr>
      <t>Shows confidence in asking adults for help</t>
    </r>
  </si>
  <si>
    <r>
      <rPr>
        <rFont val="Arial"/>
        <b/>
        <i/>
        <color rgb="FF000000"/>
        <sz val="8.0"/>
      </rPr>
      <t>PSE.4 -</t>
    </r>
    <r>
      <rPr>
        <rFont val="Arial"/>
        <i/>
        <color rgb="FF000000"/>
        <sz val="6.0"/>
      </rPr>
      <t xml:space="preserve"> Initiates conversation or play with others</t>
    </r>
  </si>
  <si>
    <r>
      <rPr>
        <rFont val="Arial"/>
        <b/>
        <i/>
        <color rgb="FF000000"/>
        <sz val="8.0"/>
      </rPr>
      <t>PSE.5 -</t>
    </r>
    <r>
      <rPr>
        <rFont val="Arial"/>
        <i/>
        <color rgb="FF000000"/>
        <sz val="6.0"/>
      </rPr>
      <t xml:space="preserve"> Aware of own feelings</t>
    </r>
  </si>
  <si>
    <r>
      <rPr>
        <rFont val="Arial"/>
        <b/>
        <i/>
        <color rgb="FF000000"/>
        <sz val="8.0"/>
      </rPr>
      <t xml:space="preserve">PSE.6 - </t>
    </r>
    <r>
      <rPr>
        <rFont val="Arial"/>
        <i/>
        <color rgb="FF000000"/>
        <sz val="6.0"/>
      </rPr>
      <t>Begins to accept the needs of others and can share resources</t>
    </r>
  </si>
  <si>
    <t>Overall Judgement Score</t>
  </si>
  <si>
    <t>Overall Attainment Level</t>
  </si>
  <si>
    <r>
      <rPr>
        <rFont val="Arial"/>
        <b/>
        <i/>
        <color rgb="FF000000"/>
        <sz val="8.0"/>
      </rPr>
      <t xml:space="preserve">PD.1 - </t>
    </r>
    <r>
      <rPr>
        <rFont val="Arial"/>
        <i/>
        <color rgb="FF000000"/>
        <sz val="6.0"/>
      </rPr>
      <t>Moves freely, with pleasure and confidence in a range of ways</t>
    </r>
  </si>
  <si>
    <r>
      <rPr>
        <rFont val="Arial"/>
        <b/>
        <i/>
        <color rgb="FF000000"/>
        <sz val="8.0"/>
      </rPr>
      <t>PD.2 -</t>
    </r>
    <r>
      <rPr>
        <rFont val="Arial"/>
        <i/>
        <color rgb="FF000000"/>
        <sz val="6.0"/>
      </rPr>
      <t xml:space="preserve"> Holds a pencil correctly</t>
    </r>
  </si>
  <si>
    <r>
      <rPr>
        <rFont val="Arial"/>
        <b/>
        <i/>
        <color rgb="FF000000"/>
        <sz val="8.0"/>
      </rPr>
      <t>PD.3 -</t>
    </r>
    <r>
      <rPr>
        <rFont val="Arial"/>
        <i/>
        <color rgb="FF000000"/>
        <sz val="6.0"/>
      </rPr>
      <t xml:space="preserve"> Uses one-handed tools and equipment</t>
    </r>
  </si>
  <si>
    <r>
      <rPr>
        <rFont val="Arial"/>
        <b/>
        <i/>
        <color rgb="FF000000"/>
        <sz val="8.0"/>
      </rPr>
      <t xml:space="preserve">PD.4 </t>
    </r>
    <r>
      <rPr>
        <rFont val="Arial"/>
        <b val="0"/>
        <i/>
        <color rgb="FF000000"/>
        <sz val="6.0"/>
      </rPr>
      <t>- Can tell adults when hungry, tired or wants to play</t>
    </r>
  </si>
  <si>
    <r>
      <rPr>
        <rFont val="Arial"/>
        <b/>
        <i/>
        <color rgb="FF000000"/>
        <sz val="8.0"/>
      </rPr>
      <t xml:space="preserve">PD.5 </t>
    </r>
    <r>
      <rPr>
        <rFont val="Arial"/>
        <b val="0"/>
        <i/>
        <color rgb="FF000000"/>
        <sz val="6.0"/>
      </rPr>
      <t>- Can transport and store equiment safely</t>
    </r>
  </si>
  <si>
    <r>
      <rPr>
        <rFont val="Arial"/>
        <b/>
        <i/>
        <color rgb="FF000000"/>
        <sz val="8.0"/>
      </rPr>
      <t xml:space="preserve">PD.6 </t>
    </r>
    <r>
      <rPr>
        <rFont val="Arial"/>
        <b val="0"/>
        <i/>
        <color rgb="FF000000"/>
        <sz val="6.0"/>
      </rPr>
      <t>- Can attend to toilet needs most of the time</t>
    </r>
  </si>
  <si>
    <r>
      <rPr>
        <rFont val="Arial"/>
        <b/>
        <i/>
        <color rgb="FF000000"/>
        <sz val="8.0"/>
      </rPr>
      <t xml:space="preserve">UW.1 </t>
    </r>
    <r>
      <rPr>
        <rFont val="Arial"/>
        <i/>
        <color rgb="FF000000"/>
        <sz val="6.0"/>
      </rPr>
      <t>- Shows interest in the lives of people who are familiar to them</t>
    </r>
  </si>
  <si>
    <r>
      <rPr>
        <rFont val="Arial"/>
        <b/>
        <i/>
        <color rgb="FF000000"/>
        <sz val="8.0"/>
      </rPr>
      <t>UW.2</t>
    </r>
    <r>
      <rPr>
        <rFont val="Arial"/>
        <i/>
        <color rgb="FF000000"/>
        <sz val="6.0"/>
      </rPr>
      <t xml:space="preserve"> - Remembers and talsk about significat events in thier own experience</t>
    </r>
  </si>
  <si>
    <r>
      <rPr>
        <rFont val="Arial"/>
        <b/>
        <i/>
        <color rgb="FF000000"/>
        <sz val="8.0"/>
      </rPr>
      <t xml:space="preserve">UW.3 - </t>
    </r>
    <r>
      <rPr>
        <rFont val="Arial"/>
        <i/>
        <color rgb="FF000000"/>
        <sz val="6.0"/>
      </rPr>
      <t>Shows interest in different occupations and ways of life</t>
    </r>
  </si>
  <si>
    <r>
      <rPr>
        <rFont val="Arial"/>
        <b/>
        <i/>
        <color rgb="FF000000"/>
        <sz val="8.0"/>
      </rPr>
      <t xml:space="preserve">UW.4 </t>
    </r>
    <r>
      <rPr>
        <rFont val="Arial"/>
        <b val="0"/>
        <i/>
        <color rgb="FF000000"/>
        <sz val="6.0"/>
      </rPr>
      <t>- Comments and asks questions about aspects of the familiar world</t>
    </r>
  </si>
  <si>
    <r>
      <rPr>
        <rFont val="Arial"/>
        <b/>
        <i/>
        <color rgb="FF000000"/>
        <sz val="8.0"/>
      </rPr>
      <t xml:space="preserve">UW.5 - </t>
    </r>
    <r>
      <rPr>
        <rFont val="Arial"/>
        <b val="0"/>
        <i/>
        <color rgb="FF000000"/>
        <sz val="6.0"/>
      </rPr>
      <t>Shows care and concern for living things and environment</t>
    </r>
  </si>
  <si>
    <r>
      <rPr>
        <rFont val="Arial"/>
        <b/>
        <i/>
        <color rgb="FF000000"/>
        <sz val="8.0"/>
      </rPr>
      <t>UW.6</t>
    </r>
    <r>
      <rPr>
        <rFont val="Arial"/>
        <b val="0"/>
        <i/>
        <color rgb="FF000000"/>
        <sz val="6.0"/>
      </rPr>
      <t xml:space="preserve"> - Knows how to operate simple equipment when playing</t>
    </r>
  </si>
  <si>
    <r>
      <rPr>
        <rFont val="Arial"/>
        <b/>
        <i/>
        <color rgb="FF000000"/>
        <sz val="8.0"/>
      </rPr>
      <t>L1.1</t>
    </r>
    <r>
      <rPr>
        <rFont val="Arial"/>
        <i/>
        <color rgb="FF000000"/>
        <sz val="6.0"/>
      </rPr>
      <t xml:space="preserve"> - Listens to others when conversation interests them</t>
    </r>
  </si>
  <si>
    <r>
      <rPr>
        <rFont val="Arial"/>
        <b/>
        <i/>
        <color rgb="FF000000"/>
        <sz val="8.0"/>
      </rPr>
      <t>L1.2</t>
    </r>
    <r>
      <rPr>
        <rFont val="Arial"/>
        <i/>
        <color rgb="FF000000"/>
        <sz val="6.0"/>
      </rPr>
      <t xml:space="preserve"> - Is able to follow instructions</t>
    </r>
  </si>
  <si>
    <r>
      <rPr>
        <rFont val="Arial"/>
        <b/>
        <i/>
        <color rgb="FF000000"/>
        <sz val="8.0"/>
      </rPr>
      <t>L1.3 -</t>
    </r>
    <r>
      <rPr>
        <rFont val="Arial"/>
        <i/>
        <color rgb="FF000000"/>
        <sz val="6.0"/>
      </rPr>
      <t xml:space="preserve"> Responds to simple instructions</t>
    </r>
  </si>
  <si>
    <r>
      <rPr>
        <rFont val="Arial"/>
        <b/>
        <i/>
        <color rgb="FF000000"/>
        <sz val="8.0"/>
      </rPr>
      <t xml:space="preserve">L1.4 </t>
    </r>
    <r>
      <rPr>
        <rFont val="Arial"/>
        <b val="0"/>
        <i/>
        <color rgb="FF000000"/>
        <sz val="6.0"/>
      </rPr>
      <t>- Begins to understand "Why" questions</t>
    </r>
  </si>
  <si>
    <r>
      <rPr>
        <rFont val="Arial"/>
        <b/>
        <i/>
        <color rgb="FF000000"/>
        <sz val="8.0"/>
      </rPr>
      <t xml:space="preserve">L1.5 </t>
    </r>
    <r>
      <rPr>
        <rFont val="Arial"/>
        <b val="0"/>
        <i/>
        <color rgb="FF000000"/>
        <sz val="6.0"/>
      </rPr>
      <t>- Begins to use more complex sentences to link thoughts</t>
    </r>
  </si>
  <si>
    <r>
      <rPr>
        <rFont val="Arial"/>
        <b/>
        <i/>
        <color rgb="FF000000"/>
        <sz val="8.0"/>
      </rPr>
      <t>L1.6</t>
    </r>
    <r>
      <rPr>
        <rFont val="Arial"/>
        <b val="0"/>
        <i/>
        <color rgb="FF000000"/>
        <sz val="6.0"/>
      </rPr>
      <t xml:space="preserve"> - Questions why things happen and gives explanations</t>
    </r>
  </si>
  <si>
    <r>
      <rPr>
        <rFont val="Arial"/>
        <b/>
        <i/>
        <color rgb="FF000000"/>
        <sz val="8.0"/>
      </rPr>
      <t xml:space="preserve">L2.1 </t>
    </r>
    <r>
      <rPr>
        <rFont val="Arial"/>
        <i/>
        <color rgb="FF000000"/>
        <sz val="6.0"/>
      </rPr>
      <t>- Listens whan an adult is directly speaking to them</t>
    </r>
  </si>
  <si>
    <r>
      <rPr>
        <rFont val="Arial"/>
        <b/>
        <i/>
        <color rgb="FF000000"/>
        <sz val="8.0"/>
      </rPr>
      <t xml:space="preserve">L2.2 </t>
    </r>
    <r>
      <rPr>
        <rFont val="Arial"/>
        <i/>
        <color rgb="FF000000"/>
        <sz val="6.0"/>
      </rPr>
      <t>- Listens to stories with support</t>
    </r>
  </si>
  <si>
    <r>
      <rPr>
        <rFont val="Arial"/>
        <b/>
        <i/>
        <color rgb="FF000000"/>
        <sz val="8.0"/>
      </rPr>
      <t xml:space="preserve">L2.3 - </t>
    </r>
    <r>
      <rPr>
        <rFont val="Arial"/>
        <i/>
        <color rgb="FF000000"/>
        <sz val="6.0"/>
      </rPr>
      <t>Can follow simple instructions with support</t>
    </r>
  </si>
  <si>
    <r>
      <rPr>
        <rFont val="Arial"/>
        <b/>
        <i/>
        <color rgb="FF000000"/>
        <sz val="8.0"/>
      </rPr>
      <t>L2.4</t>
    </r>
    <r>
      <rPr>
        <rFont val="Arial"/>
        <b val="0"/>
        <i/>
        <color rgb="FF000000"/>
        <sz val="6.0"/>
      </rPr>
      <t xml:space="preserve"> - Understands some common words e.g. Yes / No</t>
    </r>
  </si>
  <si>
    <r>
      <rPr>
        <rFont val="Arial"/>
        <b/>
        <i/>
        <color rgb="FF000000"/>
        <sz val="8.0"/>
      </rPr>
      <t>L2.5</t>
    </r>
    <r>
      <rPr>
        <rFont val="Arial"/>
        <b val="0"/>
        <i/>
        <color rgb="FF000000"/>
        <sz val="6.0"/>
      </rPr>
      <t xml:space="preserve"> - Repeats Words</t>
    </r>
  </si>
  <si>
    <r>
      <rPr>
        <rFont val="Arial"/>
        <b/>
        <i/>
        <color rgb="FF000000"/>
        <sz val="8.0"/>
      </rPr>
      <t>L2.6</t>
    </r>
    <r>
      <rPr>
        <rFont val="Arial"/>
        <b/>
        <i/>
        <color rgb="FF000000"/>
        <sz val="6.0"/>
      </rPr>
      <t xml:space="preserve"> </t>
    </r>
    <r>
      <rPr>
        <rFont val="Arial"/>
        <b val="0"/>
        <i/>
        <color rgb="FF000000"/>
        <sz val="6.0"/>
      </rPr>
      <t>- Uses gestures to communicate</t>
    </r>
  </si>
  <si>
    <r>
      <rPr>
        <rFont val="Arial"/>
        <b/>
        <i/>
        <color rgb="FF000000"/>
        <sz val="8.0"/>
      </rPr>
      <t>LI.1 -</t>
    </r>
    <r>
      <rPr>
        <rFont val="Arial"/>
        <i/>
        <color rgb="FF000000"/>
        <sz val="6.0"/>
      </rPr>
      <t xml:space="preserve"> Looks at books independently</t>
    </r>
  </si>
  <si>
    <r>
      <rPr>
        <rFont val="Arial"/>
        <b/>
        <i/>
        <color rgb="FF000000"/>
        <sz val="8.0"/>
      </rPr>
      <t>LI.2</t>
    </r>
    <r>
      <rPr>
        <rFont val="Arial"/>
        <i/>
        <color rgb="FF000000"/>
        <sz val="6.0"/>
      </rPr>
      <t xml:space="preserve"> - Enjoys rhyming and rhythmic activities</t>
    </r>
  </si>
  <si>
    <r>
      <rPr>
        <rFont val="Arial"/>
        <b/>
        <i/>
        <color rgb="FF000000"/>
        <sz val="8.0"/>
      </rPr>
      <t>LI.3 -</t>
    </r>
    <r>
      <rPr>
        <rFont val="Arial"/>
        <i/>
        <color rgb="FF000000"/>
        <sz val="6.0"/>
      </rPr>
      <t xml:space="preserve"> Know that information can be relayed in the form of print</t>
    </r>
  </si>
  <si>
    <r>
      <rPr>
        <rFont val="Arial"/>
        <b/>
        <i/>
        <color rgb="FF000000"/>
        <sz val="8.0"/>
      </rPr>
      <t xml:space="preserve">LI.4 </t>
    </r>
    <r>
      <rPr>
        <rFont val="Arial"/>
        <b val="0"/>
        <i/>
        <color rgb="FF000000"/>
        <sz val="6.0"/>
      </rPr>
      <t>- Sometimes gives meaning to marks as they draw and paint</t>
    </r>
  </si>
  <si>
    <r>
      <rPr>
        <rFont val="Arial"/>
        <b/>
        <i/>
        <color rgb="FF000000"/>
        <sz val="8.0"/>
      </rPr>
      <t>LI.5</t>
    </r>
    <r>
      <rPr>
        <rFont val="Arial"/>
        <b val="0"/>
        <i/>
        <color rgb="FF000000"/>
        <sz val="6.0"/>
      </rPr>
      <t xml:space="preserve"> - Ascribe meanings to marks that they see in ddifferent places</t>
    </r>
  </si>
  <si>
    <r>
      <rPr>
        <rFont val="Arial"/>
        <b/>
        <i/>
        <color rgb="FF000000"/>
        <sz val="8.0"/>
      </rPr>
      <t>LI.6</t>
    </r>
    <r>
      <rPr>
        <rFont val="Arial"/>
        <b/>
        <i/>
        <color rgb="FF000000"/>
        <sz val="6.0"/>
      </rPr>
      <t xml:space="preserve"> </t>
    </r>
    <r>
      <rPr>
        <rFont val="Arial"/>
        <b val="0"/>
        <i/>
        <color rgb="FF000000"/>
        <sz val="6.0"/>
      </rPr>
      <t>- Draw lines and circles using gross motor movements</t>
    </r>
  </si>
  <si>
    <r>
      <rPr>
        <rFont val="Arial"/>
        <b/>
        <i/>
        <color rgb="FF000000"/>
        <sz val="8.0"/>
      </rPr>
      <t xml:space="preserve">MA.1 </t>
    </r>
    <r>
      <rPr>
        <rFont val="Arial"/>
        <i/>
        <color rgb="FF000000"/>
        <sz val="6.0"/>
      </rPr>
      <t>- Uses some number names and number language</t>
    </r>
  </si>
  <si>
    <r>
      <rPr>
        <rFont val="Arial"/>
        <b/>
        <i/>
        <color rgb="FF000000"/>
        <sz val="8.0"/>
      </rPr>
      <t>MA.2</t>
    </r>
    <r>
      <rPr>
        <rFont val="Arial"/>
        <i/>
        <color rgb="FF000000"/>
        <sz val="6.0"/>
      </rPr>
      <t xml:space="preserve"> - Recites the numbers in order  to 10</t>
    </r>
  </si>
  <si>
    <r>
      <rPr>
        <rFont val="Arial"/>
        <b/>
        <i/>
        <color rgb="FF000000"/>
        <sz val="8.0"/>
      </rPr>
      <t xml:space="preserve">MA.3 </t>
    </r>
    <r>
      <rPr>
        <rFont val="Arial"/>
        <b val="0"/>
        <i/>
        <color rgb="FF000000"/>
        <sz val="6.0"/>
      </rPr>
      <t>- Shows curiosity about numbers by offering comments or asking questions</t>
    </r>
  </si>
  <si>
    <r>
      <rPr>
        <rFont val="Arial"/>
        <b/>
        <i/>
        <color rgb="FF000000"/>
        <sz val="8.0"/>
      </rPr>
      <t xml:space="preserve">MA.4 </t>
    </r>
    <r>
      <rPr>
        <rFont val="Arial"/>
        <b val="0"/>
        <i/>
        <color rgb="FF000000"/>
        <sz val="6.0"/>
      </rPr>
      <t>- Shows an interest in shape and space in the environment</t>
    </r>
  </si>
  <si>
    <r>
      <rPr>
        <rFont val="Arial"/>
        <b/>
        <i/>
        <color rgb="FF000000"/>
        <sz val="8.0"/>
      </rPr>
      <t>MA.5</t>
    </r>
    <r>
      <rPr>
        <rFont val="Arial"/>
        <b val="0"/>
        <i/>
        <color rgb="FF000000"/>
        <sz val="6.0"/>
      </rPr>
      <t xml:space="preserve"> - Uses mathematical language in play</t>
    </r>
  </si>
  <si>
    <r>
      <rPr>
        <rFont val="Arial"/>
        <b/>
        <i/>
        <color rgb="FF000000"/>
        <sz val="8.0"/>
      </rPr>
      <t>MA.6</t>
    </r>
    <r>
      <rPr>
        <rFont val="Arial"/>
        <b val="0"/>
        <i/>
        <color rgb="FF000000"/>
        <sz val="6.0"/>
      </rPr>
      <t xml:space="preserve"> - Begin to talk about shapes of everyday objects</t>
    </r>
  </si>
  <si>
    <r>
      <rPr>
        <rFont val="Arial"/>
        <b/>
        <i/>
        <color rgb="FF000000"/>
        <sz val="8.0"/>
      </rPr>
      <t xml:space="preserve">EA.1 - </t>
    </r>
    <r>
      <rPr>
        <rFont val="Arial"/>
        <i/>
        <color rgb="FF000000"/>
        <sz val="6.0"/>
      </rPr>
      <t>Enjoys joining in with dancing and ring games</t>
    </r>
  </si>
  <si>
    <r>
      <rPr>
        <rFont val="Arial"/>
        <b/>
        <i/>
        <color rgb="FF000000"/>
        <sz val="8.0"/>
      </rPr>
      <t>EA.2</t>
    </r>
    <r>
      <rPr>
        <rFont val="Arial"/>
        <i/>
        <color rgb="FF000000"/>
        <sz val="6.0"/>
      </rPr>
      <t xml:space="preserve"> - Joins group construction activities</t>
    </r>
  </si>
  <si>
    <r>
      <rPr>
        <rFont val="Arial"/>
        <b/>
        <i/>
        <color rgb="FF000000"/>
        <sz val="8.0"/>
      </rPr>
      <t>EA.3</t>
    </r>
    <r>
      <rPr>
        <rFont val="Arial"/>
        <b val="0"/>
        <i/>
        <color rgb="FF000000"/>
        <sz val="6.0"/>
      </rPr>
      <t xml:space="preserve"> - Realises tools can be used for a purpose</t>
    </r>
  </si>
  <si>
    <r>
      <rPr>
        <rFont val="Arial"/>
        <b/>
        <i/>
        <color rgb="FF000000"/>
        <sz val="8.0"/>
      </rPr>
      <t xml:space="preserve">EA.4 </t>
    </r>
    <r>
      <rPr>
        <rFont val="Arial"/>
        <b val="0"/>
        <i/>
        <color rgb="FF000000"/>
        <sz val="6.0"/>
      </rPr>
      <t>- Uses movement to express feelings</t>
    </r>
  </si>
  <si>
    <r>
      <rPr>
        <rFont val="Arial"/>
        <b/>
        <i/>
        <color rgb="FF000000"/>
        <sz val="8.0"/>
      </rPr>
      <t xml:space="preserve">EA.5 </t>
    </r>
    <r>
      <rPr>
        <rFont val="Arial"/>
        <b val="0"/>
        <i/>
        <color rgb="FF000000"/>
        <sz val="6.0"/>
      </rPr>
      <t>- Builds stories around toys e.g. saving the princess from the troll</t>
    </r>
  </si>
  <si>
    <r>
      <rPr>
        <rFont val="Arial"/>
        <b/>
        <i/>
        <color rgb="FF000000"/>
        <sz val="8.0"/>
      </rPr>
      <t xml:space="preserve">EA.6 </t>
    </r>
    <r>
      <rPr>
        <rFont val="Arial"/>
        <b val="0"/>
        <i/>
        <color rgb="FF000000"/>
        <sz val="6.0"/>
      </rPr>
      <t>Uses available resources to support role play</t>
    </r>
  </si>
  <si>
    <r>
      <rPr>
        <rFont val="Arial"/>
        <b/>
        <i/>
        <color rgb="FF000000"/>
        <sz val="8.0"/>
      </rPr>
      <t>MU.1 -</t>
    </r>
    <r>
      <rPr>
        <rFont val="Arial"/>
        <i/>
        <color rgb="FF000000"/>
        <sz val="6.0"/>
      </rPr>
      <t xml:space="preserve"> Sings a few familiar songs</t>
    </r>
  </si>
  <si>
    <r>
      <rPr>
        <rFont val="Arial"/>
        <b/>
        <i/>
        <color rgb="FF000000"/>
        <sz val="8.0"/>
      </rPr>
      <t xml:space="preserve">MU.2 </t>
    </r>
    <r>
      <rPr>
        <rFont val="Arial"/>
        <i/>
        <color rgb="FF000000"/>
        <sz val="6.0"/>
      </rPr>
      <t>- Copies actions to songs</t>
    </r>
  </si>
  <si>
    <r>
      <rPr>
        <rFont val="Arial"/>
        <b/>
        <i/>
        <color rgb="FF000000"/>
        <sz val="8.0"/>
      </rPr>
      <t xml:space="preserve">MU.3 </t>
    </r>
    <r>
      <rPr>
        <rFont val="Arial"/>
        <b val="0"/>
        <i/>
        <color rgb="FF000000"/>
        <sz val="6.0"/>
      </rPr>
      <t>- Can tap out simple repeated rhythms</t>
    </r>
  </si>
  <si>
    <r>
      <rPr>
        <rFont val="Arial"/>
        <b/>
        <i/>
        <color rgb="FF000000"/>
        <sz val="8.0"/>
      </rPr>
      <t xml:space="preserve">PE.1 </t>
    </r>
    <r>
      <rPr>
        <rFont val="Arial"/>
        <i/>
        <color rgb="FF000000"/>
        <sz val="6.0"/>
      </rPr>
      <t>- Is able to negotiate space, changing speed and direction</t>
    </r>
  </si>
  <si>
    <r>
      <rPr>
        <rFont val="Arial"/>
        <b/>
        <i/>
        <color rgb="FF000000"/>
        <sz val="8.0"/>
      </rPr>
      <t>PE.2</t>
    </r>
    <r>
      <rPr>
        <rFont val="Arial"/>
        <i/>
        <color rgb="FF000000"/>
        <sz val="6.0"/>
      </rPr>
      <t xml:space="preserve"> - Jumps off objects and lands appropriately</t>
    </r>
  </si>
  <si>
    <r>
      <rPr>
        <rFont val="Arial"/>
        <b/>
        <i/>
        <color rgb="FF000000"/>
        <sz val="8.0"/>
      </rPr>
      <t xml:space="preserve">PE.3 </t>
    </r>
    <r>
      <rPr>
        <rFont val="Arial"/>
        <b val="0"/>
        <i/>
        <color rgb="FF000000"/>
        <sz val="6.0"/>
      </rPr>
      <t>- Shows control when catching</t>
    </r>
  </si>
  <si>
    <r>
      <rPr>
        <rFont val="Arial"/>
        <b/>
        <i/>
        <color rgb="FF000000"/>
        <sz val="8.0"/>
      </rPr>
      <t xml:space="preserve">SW.1 </t>
    </r>
    <r>
      <rPr>
        <rFont val="Arial"/>
        <b val="0"/>
        <i/>
        <color rgb="FF000000"/>
        <sz val="6.0"/>
      </rPr>
      <t>- Feels confident in the water</t>
    </r>
  </si>
  <si>
    <r>
      <rPr>
        <rFont val="Arial"/>
        <b/>
        <i/>
        <color rgb="FF000000"/>
        <sz val="8.0"/>
      </rPr>
      <t>SW.2</t>
    </r>
    <r>
      <rPr>
        <rFont val="Arial"/>
        <b val="0"/>
        <i/>
        <color rgb="FF000000"/>
        <sz val="6.0"/>
      </rPr>
      <t xml:space="preserve"> - Can walk in the water</t>
    </r>
  </si>
  <si>
    <r>
      <rPr>
        <rFont val="Arial"/>
        <b/>
        <i/>
        <color rgb="FF000000"/>
        <sz val="8.0"/>
      </rPr>
      <t>SW.3</t>
    </r>
    <r>
      <rPr>
        <rFont val="Arial"/>
        <b val="0"/>
        <i/>
        <color rgb="FF000000"/>
        <sz val="6.0"/>
      </rPr>
      <t xml:space="preserve"> - Enjoys playing in the water</t>
    </r>
  </si>
  <si>
    <t>Attainment:</t>
  </si>
  <si>
    <t>WB:</t>
  </si>
  <si>
    <t>WB %:</t>
  </si>
  <si>
    <t>WT:</t>
  </si>
  <si>
    <t>WT %:</t>
  </si>
  <si>
    <t>WA:</t>
  </si>
  <si>
    <t>WA %:</t>
  </si>
  <si>
    <t>Exc:</t>
  </si>
  <si>
    <t>Exc %:</t>
  </si>
  <si>
    <t>Gender Analysis</t>
  </si>
  <si>
    <t>Female</t>
  </si>
  <si>
    <t># of Female:</t>
  </si>
  <si>
    <t>Female %</t>
  </si>
  <si>
    <t>Male</t>
  </si>
  <si>
    <t># of Male:</t>
  </si>
  <si>
    <t>Male %</t>
  </si>
  <si>
    <t>Nombre</t>
  </si>
  <si>
    <t>Class</t>
  </si>
  <si>
    <t>Native Language</t>
  </si>
  <si>
    <t>Personal, Social &amp; Emotional 
 REPORT LEVEL
DECEMBER 2025</t>
  </si>
  <si>
    <t>Physical Development REPORT LEVEL
DECEMBER 2025</t>
  </si>
  <si>
    <t>Communication and Language
 REPORT LEVEL
DECEMBER 2025</t>
  </si>
  <si>
    <t xml:space="preserve"> SPANISH SPEAKING
DECEMBER 2025</t>
  </si>
  <si>
    <t>SPANISH 
LISTENING
DECEMBER 2025</t>
  </si>
  <si>
    <t>Alvarenga Guillén, Camila Sofía</t>
  </si>
  <si>
    <t>Reception Alger</t>
  </si>
  <si>
    <t>Spanish</t>
  </si>
  <si>
    <t>Age 0-3</t>
  </si>
  <si>
    <t>B</t>
  </si>
  <si>
    <t>Amaya Santos, Daniel Octavio</t>
  </si>
  <si>
    <t>Avilés Escobar, Thiago Alexander</t>
  </si>
  <si>
    <t>Cruz Cartagena, Derek Nicolás</t>
  </si>
  <si>
    <t>Dardón Mondragón, Enzo Andrés</t>
  </si>
  <si>
    <t>Díaz Castillo, Arianna Beatriz</t>
  </si>
  <si>
    <t>D</t>
  </si>
  <si>
    <t>Durán Menéndez, Nicolás Selim</t>
  </si>
  <si>
    <t>Escalón Ayala, Juan Diego</t>
  </si>
  <si>
    <t>García Prieto Iannuzzelli, Fabianna</t>
  </si>
  <si>
    <t>Góchez Tobías, Martín</t>
  </si>
  <si>
    <t>Mena Zedán, Maya</t>
  </si>
  <si>
    <t>Regalado Franco, Olivia</t>
  </si>
  <si>
    <t>Rodríguez García Prieto, Carlos Andrés</t>
  </si>
  <si>
    <t>Suriano Siu Morales, Matías Antonio</t>
  </si>
  <si>
    <t>Tobar Quiñónez, Nicolás</t>
  </si>
  <si>
    <t>Cabrera Quintanilla, Daniel</t>
  </si>
  <si>
    <t>Reception Pineda</t>
  </si>
  <si>
    <t>Age 3-4</t>
  </si>
  <si>
    <t>Caprio Ambrosetto, Juan Tomás</t>
  </si>
  <si>
    <t>Casares Ayala, Emma Olivia</t>
  </si>
  <si>
    <t>Cuestas Valdivieso, María Camila</t>
  </si>
  <si>
    <t>Escobar Luna, Lucía Isabella</t>
  </si>
  <si>
    <t>González Cervantes, Andrés Nicolás</t>
  </si>
  <si>
    <t>Guardado Ruballo, Osman Nicolás</t>
  </si>
  <si>
    <t>Homberger Bran, Enrique Sebastián</t>
  </si>
  <si>
    <t>Jacir Boehm, Sofía Alessandra</t>
  </si>
  <si>
    <t>Jovel Henríquez, José Manuel</t>
  </si>
  <si>
    <t>Mejía Aguilar, Ander</t>
  </si>
  <si>
    <t>Mena Rivas, Gerardo Andrés</t>
  </si>
  <si>
    <t>Montes Cornejo, Valeria Sofía</t>
  </si>
  <si>
    <t>Rivas Mancía, Pablo Andrés</t>
  </si>
  <si>
    <t>Salguero Mejía, Isabella</t>
  </si>
  <si>
    <t>Villatoro Bonilla, Santino Xavier</t>
  </si>
  <si>
    <t>Ancalmo Colato, Daniel Enrique</t>
  </si>
  <si>
    <t>Reception Werner</t>
  </si>
  <si>
    <t>Carabantes Calderón, Carlo Gabino</t>
  </si>
  <si>
    <t>Cárdenas Cabrales, Grecia Antonella</t>
  </si>
  <si>
    <t>Cardona Medina, Rodrigo Matías</t>
  </si>
  <si>
    <t>Carías Herbener, Mateo</t>
  </si>
  <si>
    <t>De Sola Delgado, Marcel</t>
  </si>
  <si>
    <t>Escobar López, Felipe</t>
  </si>
  <si>
    <t>Escobar Rodríguez, Juan Diego</t>
  </si>
  <si>
    <t>Guandique Vega, Felipe</t>
  </si>
  <si>
    <t>Huezo Muyshondt, Diego José</t>
  </si>
  <si>
    <t>Hurtado Marroquín, Daniela Sofía</t>
  </si>
  <si>
    <t>Mejía Rovira, Aída María</t>
  </si>
  <si>
    <t>Navarro Escobar, Fabiana Elisa</t>
  </si>
  <si>
    <t>Ventura Peña, Valentina Elizabeth</t>
  </si>
  <si>
    <t>ELG</t>
  </si>
  <si>
    <t>Age 4-5</t>
  </si>
  <si>
    <t>N/A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</si>
</sst>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###############"/>
  </numFmts>
  <fonts count="27">
    <font>
      <sz val="10.0"/>
      <color rgb="FF000000"/>
      <name val="Arial"/>
    </font>
    <font>
      <b/>
      <sz val="12.0"/>
      <color rgb="FF000000"/>
      <name val="Arial"/>
    </font>
    <font>
      <name val="Arial"/>
    </font>
    <font/>
    <font>
      <b/>
      <sz val="11.0"/>
      <color rgb="FF000000"/>
      <name val="Arial"/>
    </font>
    <font>
      <b/>
      <i/>
      <sz val="8.0"/>
      <color rgb="FF000000"/>
      <name val="Arial"/>
    </font>
    <font>
      <i/>
      <sz val="6.0"/>
      <color rgb="FF000000"/>
      <name val="Arial"/>
    </font>
    <font>
      <b/>
      <i/>
      <sz val="8.0"/>
      <name val="Arial"/>
    </font>
    <font>
      <sz val="6.0"/>
      <name val="Arial"/>
    </font>
    <font>
      <sz val="11.0"/>
      <color rgb="FF000000"/>
      <name val="Inconsolata"/>
    </font>
    <font>
      <b/>
      <i/>
      <sz val="6.0"/>
      <name val="Arial"/>
    </font>
    <font>
      <b/>
      <name val="Arial"/>
    </font>
    <font>
      <b/>
      <u/>
      <color rgb="FFFF0000"/>
      <name val="Arial"/>
    </font>
    <font>
      <b/>
      <u/>
      <color rgb="FFFF0000"/>
      <name val="Arial"/>
    </font>
    <font>
      <b/>
      <u/>
      <color rgb="FFFF0000"/>
      <name val="Arial"/>
    </font>
    <font>
      <b/>
      <sz val="8.0"/>
      <color rgb="FFFF0000"/>
      <name val="Arial"/>
    </font>
    <font>
      <b/>
      <i/>
      <color rgb="FF0000FF"/>
      <name val="Arial"/>
    </font>
    <font>
      <b/>
      <sz val="8.0"/>
      <name val="Arial"/>
    </font>
    <font>
      <b/>
      <u/>
      <color rgb="FFFF0000"/>
      <name val="Arial"/>
    </font>
    <font>
      <b/>
      <u/>
      <color rgb="FFFF0000"/>
      <name val="Arial"/>
    </font>
    <font>
      <b/>
      <color rgb="FF0000FF"/>
      <name val="Arial"/>
    </font>
    <font>
      <b/>
      <sz val="8.0"/>
      <color rgb="FF000000"/>
      <name val="Arial"/>
    </font>
    <font>
      <b/>
      <sz val="9.0"/>
      <color rgb="FF000000"/>
      <name val="Calibri"/>
    </font>
    <font>
      <name val="Calibri"/>
    </font>
    <font>
      <sz val="10.0"/>
      <color rgb="FF000000"/>
      <name val="Calibri"/>
    </font>
    <font>
      <b/>
      <name val="Calibri"/>
    </font>
    <font>
      <color rgb="FF000000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E599"/>
        <bgColor rgb="FFFFE599"/>
      </patternFill>
    </fill>
    <fill>
      <patternFill patternType="solid">
        <fgColor rgb="FF000000"/>
        <bgColor rgb="FF000000"/>
      </patternFill>
    </fill>
    <fill>
      <patternFill patternType="solid">
        <fgColor rgb="FFCCCCCC"/>
        <bgColor rgb="FFCCCCCC"/>
      </patternFill>
    </fill>
    <fill>
      <patternFill patternType="solid">
        <fgColor rgb="FFB7E1CD"/>
        <bgColor rgb="FFB7E1CD"/>
      </patternFill>
    </fill>
    <fill>
      <patternFill patternType="solid">
        <fgColor rgb="FF999999"/>
        <bgColor rgb="FF999999"/>
      </patternFill>
    </fill>
    <fill>
      <patternFill patternType="solid">
        <fgColor rgb="FFCFE2F3"/>
        <bgColor rgb="FFCFE2F3"/>
      </patternFill>
    </fill>
    <fill>
      <patternFill patternType="solid">
        <fgColor rgb="FF93C47D"/>
        <bgColor rgb="FF93C47D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42">
    <border/>
    <border>
      <left style="thin">
        <color rgb="FF000000"/>
      </left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bottom style="thin">
        <color rgb="FF000000"/>
      </bottom>
    </border>
    <border>
      <left style="medium">
        <color rgb="FF000000"/>
      </left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434343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434343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434343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bottom style="medium">
        <color rgb="FF434343"/>
      </bottom>
    </border>
    <border>
      <right style="thin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top style="medium">
        <color rgb="FF000000"/>
      </top>
    </border>
    <border>
      <right/>
    </border>
  </borders>
  <cellStyleXfs count="1">
    <xf borderId="0" fillId="0" fontId="0" numFmtId="0" applyAlignment="1" applyFont="1"/>
  </cellStyleXfs>
  <cellXfs count="13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2" fillId="0" fontId="2" numFmtId="0" xfId="0" applyAlignment="1" applyBorder="1" applyFont="1">
      <alignment vertical="bottom"/>
    </xf>
    <xf borderId="3" fillId="2" fontId="1" numFmtId="0" xfId="0" applyAlignment="1" applyBorder="1" applyFill="1" applyFont="1">
      <alignment horizontal="center" readingOrder="0" vertical="center"/>
    </xf>
    <xf borderId="4" fillId="0" fontId="3" numFmtId="0" xfId="0" applyBorder="1" applyFont="1"/>
    <xf borderId="1" fillId="0" fontId="3" numFmtId="0" xfId="0" applyBorder="1" applyFont="1"/>
    <xf borderId="5" fillId="0" fontId="2" numFmtId="0" xfId="0" applyAlignment="1" applyBorder="1" applyFont="1">
      <alignment vertical="bottom"/>
    </xf>
    <xf borderId="3" fillId="3" fontId="4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0" fillId="0" fontId="4" numFmtId="0" xfId="0" applyAlignment="1" applyFont="1">
      <alignment horizontal="center" shrinkToFit="0" vertical="center" wrapText="1"/>
    </xf>
    <xf borderId="7" fillId="4" fontId="4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4" fontId="4" numFmtId="0" xfId="0" applyAlignment="1" applyFont="1">
      <alignment horizontal="center" shrinkToFit="0" vertical="center" wrapText="1"/>
    </xf>
    <xf borderId="8" fillId="0" fontId="2" numFmtId="0" xfId="0" applyBorder="1" applyFont="1"/>
    <xf borderId="0" fillId="4" fontId="2" numFmtId="0" xfId="0" applyFont="1"/>
    <xf borderId="2" fillId="0" fontId="2" numFmtId="0" xfId="0" applyBorder="1" applyFont="1"/>
    <xf borderId="4" fillId="3" fontId="4" numFmtId="0" xfId="0" applyAlignment="1" applyBorder="1" applyFont="1">
      <alignment horizontal="center" readingOrder="0"/>
    </xf>
    <xf borderId="0" fillId="0" fontId="2" numFmtId="0" xfId="0" applyFont="1"/>
    <xf borderId="9" fillId="0" fontId="3" numFmtId="0" xfId="0" applyBorder="1" applyFont="1"/>
    <xf borderId="10" fillId="0" fontId="5" numFmtId="0" xfId="0" applyAlignment="1" applyBorder="1" applyFont="1">
      <alignment horizontal="center" shrinkToFit="0" wrapText="1"/>
    </xf>
    <xf borderId="11" fillId="0" fontId="6" numFmtId="0" xfId="0" applyAlignment="1" applyBorder="1" applyFont="1">
      <alignment horizontal="center" readingOrder="0" shrinkToFit="0" vertical="center" wrapText="1"/>
    </xf>
    <xf borderId="12" fillId="0" fontId="6" numFmtId="0" xfId="0" applyAlignment="1" applyBorder="1" applyFont="1">
      <alignment horizontal="center" shrinkToFit="0" wrapText="1"/>
    </xf>
    <xf borderId="13" fillId="0" fontId="6" numFmtId="0" xfId="0" applyAlignment="1" applyBorder="1" applyFont="1">
      <alignment horizontal="center" shrinkToFit="0" wrapText="1"/>
    </xf>
    <xf borderId="14" fillId="0" fontId="6" numFmtId="0" xfId="0" applyAlignment="1" applyBorder="1" applyFont="1">
      <alignment horizontal="center" readingOrder="0" shrinkToFit="0" vertical="center" wrapText="1"/>
    </xf>
    <xf borderId="13" fillId="0" fontId="6" numFmtId="0" xfId="0" applyAlignment="1" applyBorder="1" applyFont="1">
      <alignment horizontal="center" readingOrder="0" shrinkToFit="0" vertical="bottom" wrapText="1"/>
    </xf>
    <xf borderId="15" fillId="5" fontId="5" numFmtId="0" xfId="0" applyAlignment="1" applyBorder="1" applyFill="1" applyFont="1">
      <alignment horizontal="center" readingOrder="0" shrinkToFit="0" vertical="center" wrapText="1"/>
    </xf>
    <xf borderId="16" fillId="0" fontId="6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4" fontId="5" numFmtId="0" xfId="0" applyAlignment="1" applyFont="1">
      <alignment horizontal="center" shrinkToFit="0" vertical="center" wrapText="1"/>
    </xf>
    <xf borderId="14" fillId="0" fontId="5" numFmtId="0" xfId="0" applyAlignment="1" applyBorder="1" applyFont="1">
      <alignment horizontal="center" readingOrder="0" shrinkToFit="0" vertical="center" wrapText="1"/>
    </xf>
    <xf borderId="12" fillId="0" fontId="6" numFmtId="0" xfId="0" applyAlignment="1" applyBorder="1" applyFont="1">
      <alignment horizontal="center" shrinkToFit="0" vertical="center" wrapText="1"/>
    </xf>
    <xf borderId="13" fillId="0" fontId="6" numFmtId="0" xfId="0" applyAlignment="1" applyBorder="1" applyFont="1">
      <alignment horizontal="center" readingOrder="0" shrinkToFit="0" vertical="center" wrapText="1"/>
    </xf>
    <xf borderId="17" fillId="5" fontId="5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15" fillId="0" fontId="6" numFmtId="0" xfId="0" applyAlignment="1" applyBorder="1" applyFont="1">
      <alignment horizontal="center" readingOrder="0" shrinkToFit="0" vertical="center" wrapText="1"/>
    </xf>
    <xf borderId="1" fillId="0" fontId="2" numFmtId="0" xfId="0" applyBorder="1" applyFont="1"/>
    <xf borderId="5" fillId="0" fontId="5" numFmtId="0" xfId="0" applyAlignment="1" applyBorder="1" applyFont="1">
      <alignment horizontal="center" readingOrder="0" shrinkToFit="0" vertical="center" wrapText="1"/>
    </xf>
    <xf borderId="18" fillId="0" fontId="6" numFmtId="0" xfId="0" applyAlignment="1" applyBorder="1" applyFont="1">
      <alignment horizontal="center" shrinkToFit="0" wrapText="1"/>
    </xf>
    <xf borderId="19" fillId="0" fontId="6" numFmtId="0" xfId="0" applyAlignment="1" applyBorder="1" applyFont="1">
      <alignment horizontal="center" shrinkToFit="0" wrapText="1"/>
    </xf>
    <xf borderId="5" fillId="5" fontId="5" numFmtId="0" xfId="0" applyAlignment="1" applyBorder="1" applyFont="1">
      <alignment horizontal="center" shrinkToFit="0" wrapText="1"/>
    </xf>
    <xf borderId="9" fillId="0" fontId="2" numFmtId="0" xfId="0" applyAlignment="1" applyBorder="1" applyFont="1">
      <alignment vertical="bottom"/>
    </xf>
    <xf borderId="20" fillId="6" fontId="7" numFmtId="0" xfId="0" applyAlignment="1" applyBorder="1" applyFill="1" applyFont="1">
      <alignment horizontal="center" readingOrder="0" vertical="bottom"/>
    </xf>
    <xf borderId="21" fillId="0" fontId="7" numFmtId="0" xfId="0" applyAlignment="1" applyBorder="1" applyFont="1">
      <alignment horizontal="center" readingOrder="0" vertical="center"/>
    </xf>
    <xf borderId="22" fillId="0" fontId="8" numFmtId="0" xfId="0" applyAlignment="1" applyBorder="1" applyFont="1">
      <alignment horizontal="center" vertical="bottom"/>
    </xf>
    <xf borderId="22" fillId="0" fontId="8" numFmtId="0" xfId="0" applyAlignment="1" applyBorder="1" applyFont="1">
      <alignment horizontal="center"/>
    </xf>
    <xf borderId="21" fillId="0" fontId="8" numFmtId="0" xfId="0" applyAlignment="1" applyBorder="1" applyFont="1">
      <alignment horizontal="center" readingOrder="0" vertical="center"/>
    </xf>
    <xf borderId="0" fillId="5" fontId="9" numFmtId="0" xfId="0" applyFont="1"/>
    <xf borderId="23" fillId="0" fontId="8" numFmtId="0" xfId="0" applyAlignment="1" applyBorder="1" applyFont="1">
      <alignment horizontal="center" vertical="bottom"/>
    </xf>
    <xf borderId="0" fillId="0" fontId="7" numFmtId="0" xfId="0" applyAlignment="1" applyFont="1">
      <alignment horizontal="center" readingOrder="0" vertical="center"/>
    </xf>
    <xf borderId="7" fillId="4" fontId="7" numFmtId="0" xfId="0" applyAlignment="1" applyBorder="1" applyFont="1">
      <alignment horizontal="center" readingOrder="0" vertical="center"/>
    </xf>
    <xf borderId="24" fillId="0" fontId="7" numFmtId="0" xfId="0" applyAlignment="1" applyBorder="1" applyFont="1">
      <alignment horizontal="center" readingOrder="0" vertical="center"/>
    </xf>
    <xf borderId="25" fillId="5" fontId="9" numFmtId="0" xfId="0" applyBorder="1" applyFont="1"/>
    <xf borderId="0" fillId="0" fontId="2" numFmtId="0" xfId="0" applyAlignment="1" applyFont="1">
      <alignment horizontal="center" readingOrder="0" vertical="center"/>
    </xf>
    <xf borderId="0" fillId="4" fontId="7" numFmtId="0" xfId="0" applyAlignment="1" applyFont="1">
      <alignment horizontal="center" readingOrder="0" vertical="center"/>
    </xf>
    <xf borderId="26" fillId="0" fontId="2" numFmtId="0" xfId="0" applyBorder="1" applyFont="1"/>
    <xf borderId="26" fillId="0" fontId="8" numFmtId="0" xfId="0" applyAlignment="1" applyBorder="1" applyFont="1">
      <alignment horizontal="center" vertical="bottom"/>
    </xf>
    <xf borderId="26" fillId="0" fontId="2" numFmtId="0" xfId="0" applyAlignment="1" applyBorder="1" applyFont="1">
      <alignment vertical="bottom"/>
    </xf>
    <xf borderId="27" fillId="5" fontId="2" numFmtId="0" xfId="0" applyAlignment="1" applyBorder="1" applyFont="1">
      <alignment vertical="bottom"/>
    </xf>
    <xf borderId="28" fillId="0" fontId="7" numFmtId="0" xfId="0" applyAlignment="1" applyBorder="1" applyFont="1">
      <alignment horizontal="center" readingOrder="0" vertical="center"/>
    </xf>
    <xf borderId="28" fillId="0" fontId="8" numFmtId="0" xfId="0" applyAlignment="1" applyBorder="1" applyFont="1">
      <alignment horizontal="center" vertical="bottom"/>
    </xf>
    <xf borderId="28" fillId="0" fontId="8" numFmtId="0" xfId="0" applyAlignment="1" applyBorder="1" applyFont="1">
      <alignment horizontal="center"/>
    </xf>
    <xf borderId="28" fillId="0" fontId="8" numFmtId="0" xfId="0" applyAlignment="1" applyBorder="1" applyFont="1">
      <alignment horizontal="center" readingOrder="0" vertical="center"/>
    </xf>
    <xf borderId="29" fillId="5" fontId="8" numFmtId="0" xfId="0" applyAlignment="1" applyBorder="1" applyFont="1">
      <alignment horizontal="center" readingOrder="0" vertical="center"/>
    </xf>
    <xf borderId="30" fillId="0" fontId="7" numFmtId="0" xfId="0" applyAlignment="1" applyBorder="1" applyFont="1">
      <alignment horizontal="center" readingOrder="0" vertical="center"/>
    </xf>
    <xf borderId="28" fillId="0" fontId="2" numFmtId="0" xfId="0" applyBorder="1" applyFont="1"/>
    <xf borderId="31" fillId="5" fontId="8" numFmtId="0" xfId="0" applyAlignment="1" applyBorder="1" applyFont="1">
      <alignment horizontal="center" readingOrder="0" vertical="center"/>
    </xf>
    <xf borderId="0" fillId="4" fontId="7" numFmtId="0" xfId="0" applyAlignment="1" applyFont="1">
      <alignment horizontal="center" vertical="center"/>
    </xf>
    <xf borderId="27" fillId="5" fontId="2" numFmtId="0" xfId="0" applyBorder="1" applyFont="1"/>
    <xf borderId="0" fillId="0" fontId="2" numFmtId="0" xfId="0" applyAlignment="1" applyFont="1">
      <alignment horizontal="center" vertical="center"/>
    </xf>
    <xf borderId="28" fillId="0" fontId="7" numFmtId="0" xfId="0" applyAlignment="1" applyBorder="1" applyFont="1">
      <alignment horizontal="center" vertical="center"/>
    </xf>
    <xf borderId="30" fillId="0" fontId="7" numFmtId="0" xfId="0" applyAlignment="1" applyBorder="1" applyFont="1">
      <alignment horizontal="center" vertical="center"/>
    </xf>
    <xf borderId="20" fillId="6" fontId="7" numFmtId="0" xfId="0" applyAlignment="1" applyBorder="1" applyFont="1">
      <alignment horizontal="center" vertical="bottom"/>
    </xf>
    <xf borderId="32" fillId="6" fontId="2" numFmtId="0" xfId="0" applyAlignment="1" applyBorder="1" applyFont="1">
      <alignment vertical="bottom"/>
    </xf>
    <xf borderId="33" fillId="0" fontId="7" numFmtId="0" xfId="0" applyAlignment="1" applyBorder="1" applyFont="1">
      <alignment horizontal="center" vertical="center"/>
    </xf>
    <xf borderId="33" fillId="0" fontId="8" numFmtId="0" xfId="0" applyAlignment="1" applyBorder="1" applyFont="1">
      <alignment horizontal="center" vertical="bottom"/>
    </xf>
    <xf borderId="33" fillId="0" fontId="2" numFmtId="0" xfId="0" applyBorder="1" applyFont="1"/>
    <xf borderId="34" fillId="5" fontId="8" numFmtId="0" xfId="0" applyAlignment="1" applyBorder="1" applyFont="1">
      <alignment horizontal="center" readingOrder="0" vertical="center"/>
    </xf>
    <xf borderId="35" fillId="0" fontId="8" numFmtId="0" xfId="0" applyAlignment="1" applyBorder="1" applyFont="1">
      <alignment horizontal="center" vertical="bottom"/>
    </xf>
    <xf borderId="36" fillId="0" fontId="7" numFmtId="0" xfId="0" applyAlignment="1" applyBorder="1" applyFont="1">
      <alignment horizontal="center" vertical="center"/>
    </xf>
    <xf borderId="33" fillId="0" fontId="8" numFmtId="0" xfId="0" applyAlignment="1" applyBorder="1" applyFont="1">
      <alignment horizontal="center" readingOrder="0" vertical="center"/>
    </xf>
    <xf borderId="37" fillId="5" fontId="8" numFmtId="0" xfId="0" applyAlignment="1" applyBorder="1" applyFont="1">
      <alignment horizontal="center" readingOrder="0" vertical="center"/>
    </xf>
    <xf borderId="38" fillId="0" fontId="2" numFmtId="0" xfId="0" applyBorder="1" applyFont="1"/>
    <xf borderId="39" fillId="4" fontId="2" numFmtId="0" xfId="0" applyBorder="1" applyFont="1"/>
    <xf borderId="5" fillId="0" fontId="2" numFmtId="0" xfId="0" applyBorder="1" applyFont="1"/>
    <xf borderId="19" fillId="0" fontId="2" numFmtId="0" xfId="0" applyBorder="1" applyFont="1"/>
    <xf borderId="19" fillId="0" fontId="8" numFmtId="0" xfId="0" applyAlignment="1" applyBorder="1" applyFont="1">
      <alignment horizontal="center" vertical="bottom"/>
    </xf>
    <xf borderId="19" fillId="0" fontId="2" numFmtId="0" xfId="0" applyAlignment="1" applyBorder="1" applyFont="1">
      <alignment vertical="bottom"/>
    </xf>
    <xf borderId="5" fillId="5" fontId="2" numFmtId="0" xfId="0" applyBorder="1" applyFont="1"/>
    <xf borderId="40" fillId="0" fontId="2" numFmtId="0" xfId="0" applyAlignment="1" applyBorder="1" applyFont="1">
      <alignment vertical="bottom"/>
    </xf>
    <xf borderId="40" fillId="0" fontId="10" numFmtId="0" xfId="0" applyAlignment="1" applyBorder="1" applyFont="1">
      <alignment horizontal="center" vertical="center"/>
    </xf>
    <xf borderId="40" fillId="0" fontId="10" numFmtId="0" xfId="0" applyAlignment="1" applyBorder="1" applyFont="1">
      <alignment horizontal="center"/>
    </xf>
    <xf borderId="0" fillId="0" fontId="2" numFmtId="0" xfId="0" applyAlignment="1" applyFont="1">
      <alignment vertical="bottom"/>
    </xf>
    <xf borderId="0" fillId="0" fontId="11" numFmtId="0" xfId="0" applyAlignment="1" applyFont="1">
      <alignment horizontal="center" vertical="bottom"/>
    </xf>
    <xf borderId="0" fillId="0" fontId="12" numFmtId="0" xfId="0" applyAlignment="1" applyFont="1">
      <alignment shrinkToFit="0" vertical="bottom" wrapText="0"/>
    </xf>
    <xf borderId="0" fillId="0" fontId="2" numFmtId="0" xfId="0" applyAlignment="1" applyFont="1">
      <alignment vertical="bottom"/>
    </xf>
    <xf borderId="41" fillId="0" fontId="13" numFmtId="0" xfId="0" applyAlignment="1" applyBorder="1" applyFont="1">
      <alignment shrinkToFit="0" vertical="bottom" wrapText="0"/>
    </xf>
    <xf borderId="41" fillId="0" fontId="14" numFmtId="0" xfId="0" applyAlignment="1" applyBorder="1" applyFont="1">
      <alignment horizontal="right" shrinkToFit="0" vertical="bottom" wrapText="0"/>
    </xf>
    <xf borderId="0" fillId="0" fontId="11" numFmtId="0" xfId="0" applyAlignment="1" applyFont="1">
      <alignment horizontal="right" vertical="bottom"/>
    </xf>
    <xf borderId="0" fillId="0" fontId="15" numFmtId="0" xfId="0" applyAlignment="1" applyFont="1">
      <alignment horizontal="center" vertical="bottom"/>
    </xf>
    <xf borderId="0" fillId="0" fontId="16" numFmtId="0" xfId="0" applyAlignment="1" applyFont="1">
      <alignment horizontal="right" vertical="bottom"/>
    </xf>
    <xf borderId="0" fillId="0" fontId="7" numFmtId="10" xfId="0" applyAlignment="1" applyFont="1" applyNumberFormat="1">
      <alignment horizontal="center" vertical="bottom"/>
    </xf>
    <xf borderId="0" fillId="0" fontId="2" numFmtId="10" xfId="0" applyAlignment="1" applyFont="1" applyNumberFormat="1">
      <alignment vertical="bottom"/>
    </xf>
    <xf borderId="0" fillId="0" fontId="16" numFmtId="10" xfId="0" applyAlignment="1" applyFont="1" applyNumberFormat="1">
      <alignment horizontal="right" vertical="bottom"/>
    </xf>
    <xf borderId="0" fillId="0" fontId="17" numFmtId="10" xfId="0" applyAlignment="1" applyFont="1" applyNumberFormat="1">
      <alignment horizontal="center" vertical="bottom"/>
    </xf>
    <xf borderId="0" fillId="0" fontId="16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  <xf borderId="41" fillId="0" fontId="18" numFmtId="0" xfId="0" applyAlignment="1" applyBorder="1" applyFont="1">
      <alignment shrinkToFit="0" vertical="bottom" wrapText="0"/>
    </xf>
    <xf borderId="41" fillId="0" fontId="19" numFmtId="0" xfId="0" applyAlignment="1" applyBorder="1" applyFont="1">
      <alignment horizontal="right" shrinkToFit="0" vertical="bottom" wrapText="0"/>
    </xf>
    <xf borderId="0" fillId="0" fontId="2" numFmtId="0" xfId="0" applyAlignment="1" applyFont="1">
      <alignment horizontal="right" readingOrder="0" vertical="bottom"/>
    </xf>
    <xf borderId="0" fillId="0" fontId="15" numFmtId="3" xfId="0" applyAlignment="1" applyFont="1" applyNumberFormat="1">
      <alignment horizontal="center" vertical="bottom"/>
    </xf>
    <xf borderId="0" fillId="0" fontId="2" numFmtId="3" xfId="0" applyAlignment="1" applyFont="1" applyNumberFormat="1">
      <alignment vertical="bottom"/>
    </xf>
    <xf borderId="0" fillId="0" fontId="20" numFmtId="0" xfId="0" applyAlignment="1" applyFont="1">
      <alignment horizontal="right" vertical="bottom"/>
    </xf>
    <xf borderId="0" fillId="0" fontId="21" numFmtId="10" xfId="0" applyAlignment="1" applyFont="1" applyNumberFormat="1">
      <alignment horizontal="center" vertical="bottom"/>
    </xf>
    <xf borderId="28" fillId="7" fontId="22" numFmtId="164" xfId="0" applyAlignment="1" applyBorder="1" applyFill="1" applyFont="1" applyNumberFormat="1">
      <alignment horizontal="center" readingOrder="0" vertical="center"/>
    </xf>
    <xf borderId="28" fillId="7" fontId="22" numFmtId="0" xfId="0" applyAlignment="1" applyBorder="1" applyFont="1">
      <alignment horizontal="center" readingOrder="0" vertical="center"/>
    </xf>
    <xf borderId="28" fillId="7" fontId="22" numFmtId="0" xfId="0" applyAlignment="1" applyBorder="1" applyFont="1">
      <alignment horizontal="center" readingOrder="0" shrinkToFit="0" vertical="center" wrapText="1"/>
    </xf>
    <xf borderId="28" fillId="8" fontId="22" numFmtId="0" xfId="0" applyAlignment="1" applyBorder="1" applyFill="1" applyFont="1">
      <alignment horizontal="center" readingOrder="0" shrinkToFit="0" vertical="center" wrapText="1"/>
    </xf>
    <xf borderId="26" fillId="8" fontId="22" numFmtId="0" xfId="0" applyAlignment="1" applyBorder="1" applyFont="1">
      <alignment horizontal="center" readingOrder="0" shrinkToFit="0" vertical="center" wrapText="1"/>
    </xf>
    <xf borderId="28" fillId="9" fontId="22" numFmtId="0" xfId="0" applyAlignment="1" applyBorder="1" applyFill="1" applyFont="1">
      <alignment horizontal="center" readingOrder="0" shrinkToFit="0" vertical="center" wrapText="1"/>
    </xf>
    <xf borderId="0" fillId="0" fontId="23" numFmtId="0" xfId="0" applyFont="1"/>
    <xf borderId="28" fillId="0" fontId="23" numFmtId="0" xfId="0" applyAlignment="1" applyBorder="1" applyFont="1">
      <alignment horizontal="left" readingOrder="0" vertical="top"/>
    </xf>
    <xf borderId="28" fillId="0" fontId="24" numFmtId="0" xfId="0" applyAlignment="1" applyBorder="1" applyFont="1">
      <alignment horizontal="left" readingOrder="0" shrinkToFit="0" vertical="center" wrapText="1"/>
    </xf>
    <xf borderId="28" fillId="0" fontId="24" numFmtId="0" xfId="0" applyAlignment="1" applyBorder="1" applyFont="1">
      <alignment horizontal="left" readingOrder="0" vertical="center"/>
    </xf>
    <xf borderId="28" fillId="0" fontId="24" numFmtId="0" xfId="0" applyAlignment="1" applyBorder="1" applyFont="1">
      <alignment horizontal="center" readingOrder="0" vertical="center"/>
    </xf>
    <xf borderId="28" fillId="0" fontId="23" numFmtId="0" xfId="0" applyAlignment="1" applyBorder="1" applyFont="1">
      <alignment horizontal="center" readingOrder="0" vertical="center"/>
    </xf>
    <xf borderId="28" fillId="0" fontId="2" numFmtId="164" xfId="0" applyAlignment="1" applyBorder="1" applyFont="1" applyNumberFormat="1">
      <alignment horizontal="center" readingOrder="0" vertical="center"/>
    </xf>
    <xf borderId="28" fillId="0" fontId="2" numFmtId="164" xfId="0" applyAlignment="1" applyBorder="1" applyFont="1" applyNumberFormat="1">
      <alignment horizontal="center" readingOrder="0"/>
    </xf>
    <xf borderId="0" fillId="0" fontId="23" numFmtId="0" xfId="0" applyAlignment="1" applyFont="1">
      <alignment horizontal="left" readingOrder="0" vertical="center"/>
    </xf>
    <xf borderId="28" fillId="5" fontId="25" numFmtId="164" xfId="0" applyAlignment="1" applyBorder="1" applyFont="1" applyNumberFormat="1">
      <alignment horizontal="center" vertical="bottom"/>
    </xf>
    <xf borderId="28" fillId="0" fontId="23" numFmtId="164" xfId="0" applyAlignment="1" applyBorder="1" applyFont="1" applyNumberFormat="1">
      <alignment horizontal="center" vertical="bottom"/>
    </xf>
    <xf borderId="28" fillId="0" fontId="23" numFmtId="10" xfId="0" applyAlignment="1" applyBorder="1" applyFont="1" applyNumberFormat="1">
      <alignment horizontal="center" vertical="bottom"/>
    </xf>
    <xf borderId="0" fillId="0" fontId="23" numFmtId="164" xfId="0" applyAlignment="1" applyFont="1" applyNumberFormat="1">
      <alignment vertical="bottom"/>
    </xf>
    <xf borderId="28" fillId="10" fontId="25" numFmtId="164" xfId="0" applyAlignment="1" applyBorder="1" applyFill="1" applyFont="1" applyNumberFormat="1">
      <alignment horizontal="center" vertical="bottom"/>
    </xf>
    <xf borderId="28" fillId="11" fontId="26" numFmtId="164" xfId="0" applyAlignment="1" applyBorder="1" applyFill="1" applyFont="1" applyNumberFormat="1">
      <alignment horizontal="center" vertical="bottom"/>
    </xf>
    <xf borderId="28" fillId="11" fontId="26" numFmtId="10" xfId="0" applyAlignment="1" applyBorder="1" applyFont="1" applyNumberFormat="1">
      <alignment horizontal="center" vertical="bottom"/>
    </xf>
    <xf borderId="0" fillId="0" fontId="2" numFmtId="0" xfId="0" applyFont="1"/>
  </cellXfs>
  <cellStyles count="1">
    <cellStyle xfId="0" name="Normal" builtinId="0"/>
  </cellStyles>
  <dxfs count="4">
    <dxf>
      <font>
        <b/>
        <i/>
        <color rgb="FFFFFFFF"/>
      </font>
      <fill>
        <patternFill patternType="solid">
          <fgColor rgb="FFCC0000"/>
          <bgColor rgb="FFCC0000"/>
        </patternFill>
      </fill>
      <border/>
    </dxf>
    <dxf>
      <font>
        <b/>
        <i/>
        <color rgb="FFFFFFFF"/>
      </font>
      <fill>
        <patternFill patternType="solid">
          <fgColor rgb="FFE69138"/>
          <bgColor rgb="FFE69138"/>
        </patternFill>
      </fill>
      <border/>
    </dxf>
    <dxf>
      <font>
        <b/>
        <i/>
        <color rgb="FF000000"/>
      </font>
      <fill>
        <patternFill patternType="solid">
          <fgColor rgb="FF6AA84F"/>
          <bgColor rgb="FF6AA84F"/>
        </patternFill>
      </fill>
      <border/>
    </dxf>
    <dxf>
      <font>
        <b/>
        <i/>
        <color rgb="FF000000"/>
      </font>
      <fill>
        <patternFill patternType="solid">
          <fgColor rgb="FF3D85C6"/>
          <bgColor rgb="FF3D85C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31.63"/>
    <col customWidth="1" min="2" max="2" width="10.0"/>
    <col customWidth="1" min="3" max="3" width="12.63"/>
    <col customWidth="1" hidden="1" min="4" max="5" width="12.63"/>
    <col customWidth="1" min="6" max="6" width="12.63"/>
    <col customWidth="1" hidden="1" min="7" max="8" width="12.63"/>
    <col customWidth="1" min="9" max="9" width="12.63"/>
    <col customWidth="1" hidden="1" min="10" max="11" width="12.63"/>
    <col customWidth="1" min="12" max="12" width="12.63"/>
    <col customWidth="1" hidden="1" min="13" max="14" width="12.63"/>
    <col customWidth="1" min="15" max="15" width="12.63"/>
    <col customWidth="1" hidden="1" min="16" max="17" width="12.63"/>
    <col customWidth="1" min="18" max="18" width="12.63"/>
    <col customWidth="1" hidden="1" min="19" max="21" width="12.63"/>
    <col customWidth="1" min="22" max="23" width="12.63"/>
    <col customWidth="1" min="24" max="24" width="3.25"/>
    <col customWidth="1" min="25" max="25" width="13.88"/>
    <col customWidth="1" min="26" max="26" width="3.25"/>
    <col customWidth="1" min="27" max="27" width="12.63"/>
    <col customWidth="1" hidden="1" min="28" max="29" width="12.63"/>
    <col customWidth="1" min="30" max="30" width="12.63"/>
    <col customWidth="1" hidden="1" min="31" max="32" width="12.63"/>
    <col customWidth="1" min="33" max="33" width="12.63"/>
    <col customWidth="1" hidden="1" min="34" max="35" width="12.63"/>
    <col customWidth="1" min="36" max="36" width="12.63"/>
    <col customWidth="1" hidden="1" min="37" max="38" width="12.63"/>
    <col customWidth="1" min="39" max="39" width="12.63"/>
    <col customWidth="1" hidden="1" min="40" max="41" width="12.63"/>
    <col customWidth="1" min="42" max="42" width="12.63"/>
    <col customWidth="1" hidden="1" min="43" max="45" width="12.63"/>
    <col customWidth="1" min="46" max="46" width="12.63"/>
    <col customWidth="1" hidden="1" min="47" max="47" width="7.63"/>
    <col customWidth="1" min="48" max="48" width="3.25"/>
    <col customWidth="1" min="49" max="49" width="13.88"/>
    <col customWidth="1" min="50" max="50" width="3.25"/>
    <col customWidth="1" min="51" max="51" width="12.63"/>
    <col customWidth="1" hidden="1" min="52" max="53" width="12.63"/>
    <col customWidth="1" min="54" max="54" width="12.63"/>
    <col customWidth="1" hidden="1" min="55" max="56" width="12.63"/>
    <col customWidth="1" min="57" max="57" width="12.63"/>
    <col customWidth="1" hidden="1" min="58" max="59" width="12.63"/>
    <col customWidth="1" min="60" max="60" width="12.63"/>
    <col customWidth="1" hidden="1" min="61" max="62" width="12.63"/>
    <col customWidth="1" min="63" max="63" width="12.63"/>
    <col customWidth="1" hidden="1" min="64" max="65" width="12.63"/>
    <col customWidth="1" min="66" max="66" width="12.63"/>
    <col customWidth="1" hidden="1" min="67" max="69" width="12.63"/>
    <col customWidth="1" min="70" max="70" width="12.63"/>
    <col customWidth="1" hidden="1" min="71" max="71" width="12.63"/>
    <col customWidth="1" min="72" max="72" width="3.25"/>
    <col customWidth="1" min="73" max="73" width="13.88"/>
    <col customWidth="1" min="74" max="74" width="3.25"/>
    <col customWidth="1" min="75" max="75" width="8.88"/>
    <col customWidth="1" hidden="1" min="76" max="77" width="8.88"/>
    <col customWidth="1" min="78" max="78" width="8.88"/>
    <col customWidth="1" hidden="1" min="79" max="80" width="8.88"/>
    <col customWidth="1" min="81" max="81" width="8.88"/>
    <col customWidth="1" hidden="1" min="82" max="83" width="8.88"/>
    <col customWidth="1" min="84" max="84" width="8.88"/>
    <col customWidth="1" hidden="1" min="85" max="86" width="8.88"/>
    <col customWidth="1" min="87" max="87" width="8.88"/>
    <col customWidth="1" hidden="1" min="88" max="89" width="8.88"/>
    <col customWidth="1" min="90" max="90" width="8.88"/>
    <col customWidth="1" hidden="1" min="91" max="93" width="8.88"/>
    <col customWidth="1" min="94" max="94" width="8.88"/>
    <col customWidth="1" hidden="1" min="95" max="95" width="8.88"/>
    <col customWidth="1" min="96" max="96" width="3.25"/>
    <col customWidth="1" min="97" max="97" width="13.88"/>
    <col customWidth="1" min="98" max="98" width="3.25"/>
    <col customWidth="1" min="99" max="99" width="12.63"/>
    <col customWidth="1" hidden="1" min="100" max="101" width="12.63"/>
    <col customWidth="1" min="102" max="102" width="12.63"/>
    <col customWidth="1" hidden="1" min="103" max="104" width="12.63"/>
    <col customWidth="1" min="105" max="105" width="12.63"/>
    <col customWidth="1" hidden="1" min="106" max="107" width="12.63"/>
    <col customWidth="1" min="108" max="108" width="12.63"/>
    <col customWidth="1" hidden="1" min="109" max="110" width="12.63"/>
    <col customWidth="1" min="111" max="111" width="12.63"/>
    <col customWidth="1" hidden="1" min="112" max="113" width="12.63"/>
    <col customWidth="1" min="114" max="114" width="12.63"/>
    <col customWidth="1" hidden="1" min="115" max="117" width="12.63"/>
    <col customWidth="1" min="118" max="118" width="12.63"/>
    <col customWidth="1" hidden="1" min="119" max="119" width="12.63"/>
    <col customWidth="1" min="120" max="120" width="3.25"/>
    <col customWidth="1" min="121" max="121" width="13.88"/>
    <col customWidth="1" min="122" max="122" width="3.25"/>
    <col customWidth="1" min="123" max="123" width="12.63"/>
    <col customWidth="1" hidden="1" min="124" max="125" width="12.63"/>
    <col customWidth="1" min="126" max="126" width="12.63"/>
    <col customWidth="1" hidden="1" min="127" max="128" width="12.63"/>
    <col customWidth="1" min="129" max="129" width="12.63"/>
    <col customWidth="1" hidden="1" min="130" max="131" width="12.63"/>
    <col customWidth="1" min="132" max="132" width="12.63"/>
    <col customWidth="1" hidden="1" min="133" max="134" width="12.63"/>
    <col customWidth="1" min="135" max="135" width="12.63"/>
    <col customWidth="1" hidden="1" min="136" max="137" width="12.63"/>
    <col customWidth="1" min="138" max="138" width="12.63"/>
    <col customWidth="1" hidden="1" min="139" max="141" width="12.63"/>
    <col customWidth="1" min="142" max="142" width="12.63"/>
    <col customWidth="1" hidden="1" min="143" max="143" width="12.63"/>
    <col customWidth="1" min="144" max="144" width="3.25"/>
    <col customWidth="1" min="145" max="145" width="13.88"/>
    <col customWidth="1" min="146" max="146" width="3.25"/>
    <col customWidth="1" min="147" max="147" width="12.63"/>
    <col customWidth="1" hidden="1" min="148" max="149" width="12.63"/>
    <col customWidth="1" min="150" max="150" width="12.63"/>
    <col customWidth="1" hidden="1" min="151" max="152" width="12.63"/>
    <col customWidth="1" min="153" max="153" width="12.63"/>
    <col customWidth="1" hidden="1" min="154" max="155" width="12.63"/>
    <col customWidth="1" min="156" max="156" width="12.63"/>
    <col customWidth="1" hidden="1" min="157" max="158" width="12.63"/>
    <col customWidth="1" min="159" max="159" width="12.63"/>
    <col customWidth="1" hidden="1" min="160" max="161" width="12.63"/>
    <col customWidth="1" min="162" max="162" width="12.63"/>
    <col customWidth="1" hidden="1" min="163" max="165" width="12.63"/>
    <col customWidth="1" min="166" max="166" width="12.63"/>
    <col customWidth="1" hidden="1" min="167" max="167" width="12.63"/>
    <col customWidth="1" min="168" max="168" width="3.25"/>
    <col customWidth="1" min="169" max="169" width="13.88"/>
    <col customWidth="1" min="170" max="170" width="3.25"/>
    <col customWidth="1" min="171" max="171" width="8.88"/>
    <col customWidth="1" hidden="1" min="172" max="173" width="8.88"/>
    <col customWidth="1" min="174" max="174" width="8.88"/>
    <col customWidth="1" hidden="1" min="175" max="176" width="8.88"/>
    <col customWidth="1" min="177" max="177" width="8.88"/>
    <col customWidth="1" hidden="1" min="178" max="179" width="8.88"/>
    <col customWidth="1" min="180" max="180" width="8.88"/>
    <col customWidth="1" hidden="1" min="181" max="182" width="8.88"/>
    <col customWidth="1" min="183" max="183" width="8.88"/>
    <col customWidth="1" hidden="1" min="184" max="185" width="8.88"/>
    <col customWidth="1" min="186" max="186" width="8.88"/>
    <col customWidth="1" hidden="1" min="187" max="189" width="8.88"/>
    <col customWidth="1" min="190" max="190" width="8.88"/>
    <col customWidth="1" hidden="1" min="191" max="191" width="8.88"/>
    <col customWidth="1" min="192" max="192" width="3.25"/>
    <col customWidth="1" min="193" max="193" width="13.88"/>
    <col customWidth="1" min="194" max="194" width="3.25"/>
    <col customWidth="1" min="195" max="195" width="8.88"/>
    <col customWidth="1" hidden="1" min="196" max="197" width="8.88"/>
    <col customWidth="1" min="198" max="198" width="8.88"/>
    <col customWidth="1" hidden="1" min="199" max="200" width="8.88"/>
    <col customWidth="1" min="201" max="201" width="8.88"/>
    <col customWidth="1" hidden="1" min="202" max="204" width="8.88"/>
    <col customWidth="1" min="205" max="205" width="8.88"/>
    <col customWidth="1" hidden="1" min="206" max="206" width="8.88"/>
    <col customWidth="1" min="207" max="207" width="3.25"/>
    <col customWidth="1" min="208" max="208" width="13.88"/>
    <col customWidth="1" min="209" max="209" width="3.25"/>
    <col customWidth="1" min="210" max="210" width="12.63"/>
    <col customWidth="1" hidden="1" min="211" max="212" width="12.63"/>
    <col customWidth="1" min="213" max="213" width="12.63"/>
    <col customWidth="1" hidden="1" min="214" max="215" width="12.63"/>
    <col customWidth="1" min="216" max="216" width="12.63"/>
    <col customWidth="1" hidden="1" min="217" max="219" width="12.63"/>
    <col customWidth="1" min="220" max="220" width="12.63"/>
    <col customWidth="1" hidden="1" min="221" max="221" width="12.63"/>
    <col customWidth="1" min="222" max="222" width="3.25"/>
    <col customWidth="1" min="223" max="223" width="13.88"/>
    <col customWidth="1" min="224" max="224" width="3.25"/>
    <col customWidth="1" min="225" max="225" width="12.63"/>
    <col customWidth="1" hidden="1" min="226" max="227" width="12.63"/>
    <col customWidth="1" min="228" max="228" width="12.63"/>
    <col customWidth="1" hidden="1" min="229" max="230" width="12.63"/>
    <col customWidth="1" min="231" max="231" width="12.63"/>
    <col customWidth="1" hidden="1" min="232" max="234" width="12.63"/>
    <col customWidth="1" min="235" max="235" width="12.63"/>
    <col customWidth="1" hidden="1" min="236" max="236" width="12.63"/>
    <col customWidth="1" min="237" max="237" width="8.88"/>
  </cols>
  <sheetData>
    <row r="1" ht="28.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</row>
    <row r="2">
      <c r="A2" s="5"/>
      <c r="B2" s="6"/>
      <c r="C2" s="7" t="s">
        <v>2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8"/>
      <c r="X2" s="9"/>
      <c r="Y2" s="10"/>
      <c r="Z2" s="9"/>
      <c r="AA2" s="7" t="s">
        <v>3</v>
      </c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8"/>
      <c r="AV2" s="11"/>
      <c r="AW2" s="12"/>
      <c r="AX2" s="9"/>
      <c r="AY2" s="7" t="s">
        <v>4</v>
      </c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8"/>
      <c r="BT2" s="11"/>
      <c r="BU2" s="12"/>
      <c r="BV2" s="9"/>
      <c r="BW2" s="7" t="s">
        <v>5</v>
      </c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8"/>
      <c r="CR2" s="11"/>
      <c r="CS2" s="12"/>
      <c r="CT2" s="9"/>
      <c r="CU2" s="7" t="s">
        <v>6</v>
      </c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8"/>
      <c r="DP2" s="11"/>
      <c r="DQ2" s="12"/>
      <c r="DR2" s="9"/>
      <c r="DS2" s="7" t="s">
        <v>7</v>
      </c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8"/>
      <c r="EN2" s="11"/>
      <c r="EO2" s="12"/>
      <c r="EP2" s="9"/>
      <c r="EQ2" s="7" t="s">
        <v>8</v>
      </c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8"/>
      <c r="FL2" s="11"/>
      <c r="FM2" s="12"/>
      <c r="FN2" s="9"/>
      <c r="FO2" s="7" t="s">
        <v>9</v>
      </c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8"/>
      <c r="GJ2" s="11"/>
      <c r="GK2" s="12"/>
      <c r="GL2" s="9"/>
      <c r="GM2" s="7" t="s">
        <v>10</v>
      </c>
      <c r="GN2" s="4"/>
      <c r="GO2" s="4"/>
      <c r="GP2" s="4"/>
      <c r="GQ2" s="4"/>
      <c r="GR2" s="4"/>
      <c r="GS2" s="4"/>
      <c r="GT2" s="4"/>
      <c r="GU2" s="4"/>
      <c r="GV2" s="4"/>
      <c r="GW2" s="4"/>
      <c r="GX2" s="8"/>
      <c r="GY2" s="11"/>
      <c r="GZ2" s="12"/>
      <c r="HA2" s="9"/>
      <c r="HB2" s="7" t="s">
        <v>11</v>
      </c>
      <c r="HC2" s="4"/>
      <c r="HD2" s="4"/>
      <c r="HE2" s="4"/>
      <c r="HF2" s="4"/>
      <c r="HG2" s="4"/>
      <c r="HH2" s="4"/>
      <c r="HI2" s="4"/>
      <c r="HJ2" s="4"/>
      <c r="HK2" s="4"/>
      <c r="HL2" s="4"/>
      <c r="HM2" s="8"/>
      <c r="HN2" s="13"/>
      <c r="HO2" s="14"/>
      <c r="HP2" s="15"/>
      <c r="HQ2" s="16" t="s">
        <v>12</v>
      </c>
      <c r="HR2" s="4"/>
      <c r="HS2" s="4"/>
      <c r="HT2" s="4"/>
      <c r="HU2" s="4"/>
      <c r="HV2" s="4"/>
      <c r="HW2" s="4"/>
      <c r="HX2" s="4"/>
      <c r="HY2" s="4"/>
      <c r="HZ2" s="4"/>
      <c r="IA2" s="4"/>
      <c r="IB2" s="8"/>
      <c r="IC2" s="17"/>
    </row>
    <row r="3" ht="31.5" customHeight="1">
      <c r="A3" s="18"/>
      <c r="B3" s="19" t="s">
        <v>13</v>
      </c>
      <c r="C3" s="20" t="s">
        <v>14</v>
      </c>
      <c r="D3" s="21" t="s">
        <v>15</v>
      </c>
      <c r="E3" s="22" t="s">
        <v>16</v>
      </c>
      <c r="F3" s="23" t="s">
        <v>17</v>
      </c>
      <c r="G3" s="21" t="s">
        <v>15</v>
      </c>
      <c r="H3" s="22" t="s">
        <v>16</v>
      </c>
      <c r="I3" s="23" t="s">
        <v>18</v>
      </c>
      <c r="J3" s="21" t="s">
        <v>15</v>
      </c>
      <c r="K3" s="22" t="s">
        <v>16</v>
      </c>
      <c r="L3" s="23" t="s">
        <v>19</v>
      </c>
      <c r="M3" s="21" t="s">
        <v>15</v>
      </c>
      <c r="N3" s="22" t="s">
        <v>16</v>
      </c>
      <c r="O3" s="23" t="s">
        <v>20</v>
      </c>
      <c r="P3" s="21" t="s">
        <v>15</v>
      </c>
      <c r="Q3" s="22" t="s">
        <v>16</v>
      </c>
      <c r="R3" s="23" t="s">
        <v>21</v>
      </c>
      <c r="S3" s="21" t="s">
        <v>15</v>
      </c>
      <c r="T3" s="22" t="s">
        <v>16</v>
      </c>
      <c r="U3" s="24" t="s">
        <v>22</v>
      </c>
      <c r="V3" s="25" t="s">
        <v>23</v>
      </c>
      <c r="W3" s="26" t="s">
        <v>15</v>
      </c>
      <c r="X3" s="27"/>
      <c r="Y3" s="28"/>
      <c r="Z3" s="27"/>
      <c r="AA3" s="20" t="s">
        <v>24</v>
      </c>
      <c r="AB3" s="21" t="s">
        <v>15</v>
      </c>
      <c r="AC3" s="22" t="s">
        <v>16</v>
      </c>
      <c r="AD3" s="23" t="s">
        <v>25</v>
      </c>
      <c r="AE3" s="21" t="s">
        <v>15</v>
      </c>
      <c r="AF3" s="22" t="s">
        <v>16</v>
      </c>
      <c r="AG3" s="23" t="s">
        <v>26</v>
      </c>
      <c r="AH3" s="21" t="s">
        <v>15</v>
      </c>
      <c r="AI3" s="22" t="s">
        <v>16</v>
      </c>
      <c r="AJ3" s="29" t="s">
        <v>27</v>
      </c>
      <c r="AK3" s="21" t="s">
        <v>15</v>
      </c>
      <c r="AL3" s="22" t="s">
        <v>16</v>
      </c>
      <c r="AM3" s="29" t="s">
        <v>28</v>
      </c>
      <c r="AN3" s="30" t="s">
        <v>15</v>
      </c>
      <c r="AO3" s="31" t="s">
        <v>16</v>
      </c>
      <c r="AP3" s="29" t="s">
        <v>29</v>
      </c>
      <c r="AQ3" s="30" t="s">
        <v>15</v>
      </c>
      <c r="AR3" s="31" t="s">
        <v>16</v>
      </c>
      <c r="AS3" s="31" t="s">
        <v>22</v>
      </c>
      <c r="AT3" s="32" t="s">
        <v>23</v>
      </c>
      <c r="AU3" s="26" t="s">
        <v>15</v>
      </c>
      <c r="AV3" s="33"/>
      <c r="AW3" s="28"/>
      <c r="AX3" s="27"/>
      <c r="AY3" s="20" t="s">
        <v>30</v>
      </c>
      <c r="AZ3" s="21" t="s">
        <v>15</v>
      </c>
      <c r="BA3" s="22" t="s">
        <v>16</v>
      </c>
      <c r="BB3" s="23" t="s">
        <v>31</v>
      </c>
      <c r="BC3" s="21" t="s">
        <v>15</v>
      </c>
      <c r="BD3" s="22" t="s">
        <v>16</v>
      </c>
      <c r="BE3" s="23" t="s">
        <v>32</v>
      </c>
      <c r="BF3" s="21" t="s">
        <v>15</v>
      </c>
      <c r="BG3" s="22" t="s">
        <v>16</v>
      </c>
      <c r="BH3" s="29" t="s">
        <v>33</v>
      </c>
      <c r="BI3" s="21" t="s">
        <v>15</v>
      </c>
      <c r="BJ3" s="22" t="s">
        <v>16</v>
      </c>
      <c r="BK3" s="29" t="s">
        <v>34</v>
      </c>
      <c r="BL3" s="30" t="s">
        <v>15</v>
      </c>
      <c r="BM3" s="31" t="s">
        <v>16</v>
      </c>
      <c r="BN3" s="29" t="s">
        <v>35</v>
      </c>
      <c r="BO3" s="30" t="s">
        <v>15</v>
      </c>
      <c r="BP3" s="31" t="s">
        <v>16</v>
      </c>
      <c r="BQ3" s="31" t="s">
        <v>22</v>
      </c>
      <c r="BR3" s="32" t="s">
        <v>23</v>
      </c>
      <c r="BS3" s="26" t="s">
        <v>15</v>
      </c>
      <c r="BT3" s="33"/>
      <c r="BU3" s="28"/>
      <c r="BV3" s="27"/>
      <c r="BW3" s="20" t="s">
        <v>36</v>
      </c>
      <c r="BX3" s="26" t="s">
        <v>15</v>
      </c>
      <c r="BY3" s="31" t="s">
        <v>16</v>
      </c>
      <c r="BZ3" s="23" t="s">
        <v>37</v>
      </c>
      <c r="CA3" s="26" t="s">
        <v>15</v>
      </c>
      <c r="CB3" s="31" t="s">
        <v>16</v>
      </c>
      <c r="CC3" s="23" t="s">
        <v>38</v>
      </c>
      <c r="CD3" s="26" t="s">
        <v>15</v>
      </c>
      <c r="CE3" s="31" t="s">
        <v>16</v>
      </c>
      <c r="CF3" s="29" t="s">
        <v>39</v>
      </c>
      <c r="CG3" s="26" t="s">
        <v>15</v>
      </c>
      <c r="CH3" s="31" t="s">
        <v>16</v>
      </c>
      <c r="CI3" s="29" t="s">
        <v>40</v>
      </c>
      <c r="CJ3" s="26" t="s">
        <v>15</v>
      </c>
      <c r="CK3" s="31" t="s">
        <v>16</v>
      </c>
      <c r="CL3" s="29" t="s">
        <v>41</v>
      </c>
      <c r="CM3" s="26" t="s">
        <v>15</v>
      </c>
      <c r="CN3" s="31" t="s">
        <v>16</v>
      </c>
      <c r="CO3" s="34" t="s">
        <v>22</v>
      </c>
      <c r="CP3" s="25" t="s">
        <v>23</v>
      </c>
      <c r="CQ3" s="26" t="s">
        <v>15</v>
      </c>
      <c r="CR3" s="33"/>
      <c r="CS3" s="28"/>
      <c r="CT3" s="27"/>
      <c r="CU3" s="20" t="s">
        <v>42</v>
      </c>
      <c r="CV3" s="26" t="s">
        <v>15</v>
      </c>
      <c r="CW3" s="31" t="s">
        <v>16</v>
      </c>
      <c r="CX3" s="23" t="s">
        <v>43</v>
      </c>
      <c r="CY3" s="26" t="s">
        <v>15</v>
      </c>
      <c r="CZ3" s="31" t="s">
        <v>16</v>
      </c>
      <c r="DA3" s="23" t="s">
        <v>44</v>
      </c>
      <c r="DB3" s="26" t="s">
        <v>15</v>
      </c>
      <c r="DC3" s="31" t="s">
        <v>16</v>
      </c>
      <c r="DD3" s="29" t="s">
        <v>45</v>
      </c>
      <c r="DE3" s="26" t="s">
        <v>15</v>
      </c>
      <c r="DF3" s="31" t="s">
        <v>16</v>
      </c>
      <c r="DG3" s="29" t="s">
        <v>46</v>
      </c>
      <c r="DH3" s="26" t="s">
        <v>15</v>
      </c>
      <c r="DI3" s="31" t="s">
        <v>16</v>
      </c>
      <c r="DJ3" s="29" t="s">
        <v>47</v>
      </c>
      <c r="DK3" s="26" t="s">
        <v>15</v>
      </c>
      <c r="DL3" s="31" t="s">
        <v>16</v>
      </c>
      <c r="DM3" s="34" t="s">
        <v>22</v>
      </c>
      <c r="DN3" s="25" t="s">
        <v>23</v>
      </c>
      <c r="DO3" s="26" t="s">
        <v>15</v>
      </c>
      <c r="DP3" s="33"/>
      <c r="DQ3" s="28"/>
      <c r="DR3" s="27"/>
      <c r="DS3" s="20" t="s">
        <v>48</v>
      </c>
      <c r="DT3" s="26" t="s">
        <v>15</v>
      </c>
      <c r="DU3" s="31" t="s">
        <v>16</v>
      </c>
      <c r="DV3" s="23" t="s">
        <v>49</v>
      </c>
      <c r="DW3" s="26" t="s">
        <v>15</v>
      </c>
      <c r="DX3" s="31" t="s">
        <v>16</v>
      </c>
      <c r="DY3" s="23" t="s">
        <v>50</v>
      </c>
      <c r="DZ3" s="26" t="s">
        <v>15</v>
      </c>
      <c r="EA3" s="31" t="s">
        <v>16</v>
      </c>
      <c r="EB3" s="29" t="s">
        <v>51</v>
      </c>
      <c r="EC3" s="26" t="s">
        <v>15</v>
      </c>
      <c r="ED3" s="31" t="s">
        <v>16</v>
      </c>
      <c r="EE3" s="29" t="s">
        <v>52</v>
      </c>
      <c r="EF3" s="26" t="s">
        <v>15</v>
      </c>
      <c r="EG3" s="31" t="s">
        <v>16</v>
      </c>
      <c r="EH3" s="29" t="s">
        <v>53</v>
      </c>
      <c r="EI3" s="26" t="s">
        <v>15</v>
      </c>
      <c r="EJ3" s="31" t="s">
        <v>16</v>
      </c>
      <c r="EK3" s="34" t="s">
        <v>22</v>
      </c>
      <c r="EL3" s="25" t="s">
        <v>23</v>
      </c>
      <c r="EM3" s="26" t="s">
        <v>15</v>
      </c>
      <c r="EN3" s="33"/>
      <c r="EO3" s="28"/>
      <c r="EP3" s="27"/>
      <c r="EQ3" s="20" t="s">
        <v>54</v>
      </c>
      <c r="ER3" s="26" t="s">
        <v>15</v>
      </c>
      <c r="ES3" s="31" t="s">
        <v>16</v>
      </c>
      <c r="ET3" s="23" t="s">
        <v>55</v>
      </c>
      <c r="EU3" s="26" t="s">
        <v>15</v>
      </c>
      <c r="EV3" s="31" t="s">
        <v>16</v>
      </c>
      <c r="EW3" s="29" t="s">
        <v>56</v>
      </c>
      <c r="EX3" s="26" t="s">
        <v>15</v>
      </c>
      <c r="EY3" s="31" t="s">
        <v>16</v>
      </c>
      <c r="EZ3" s="29" t="s">
        <v>57</v>
      </c>
      <c r="FA3" s="26" t="s">
        <v>15</v>
      </c>
      <c r="FB3" s="31" t="s">
        <v>16</v>
      </c>
      <c r="FC3" s="29" t="s">
        <v>58</v>
      </c>
      <c r="FD3" s="26" t="s">
        <v>15</v>
      </c>
      <c r="FE3" s="31" t="s">
        <v>16</v>
      </c>
      <c r="FF3" s="29" t="s">
        <v>59</v>
      </c>
      <c r="FG3" s="26" t="s">
        <v>15</v>
      </c>
      <c r="FH3" s="31" t="s">
        <v>16</v>
      </c>
      <c r="FI3" s="34" t="s">
        <v>22</v>
      </c>
      <c r="FJ3" s="25" t="s">
        <v>23</v>
      </c>
      <c r="FK3" s="26" t="s">
        <v>15</v>
      </c>
      <c r="FL3" s="33"/>
      <c r="FM3" s="28"/>
      <c r="FN3" s="27"/>
      <c r="FO3" s="20" t="s">
        <v>60</v>
      </c>
      <c r="FP3" s="26" t="s">
        <v>15</v>
      </c>
      <c r="FQ3" s="31" t="s">
        <v>16</v>
      </c>
      <c r="FR3" s="23" t="s">
        <v>61</v>
      </c>
      <c r="FS3" s="26" t="s">
        <v>15</v>
      </c>
      <c r="FT3" s="31" t="s">
        <v>16</v>
      </c>
      <c r="FU3" s="29" t="s">
        <v>62</v>
      </c>
      <c r="FV3" s="26" t="s">
        <v>15</v>
      </c>
      <c r="FW3" s="31" t="s">
        <v>16</v>
      </c>
      <c r="FX3" s="29" t="s">
        <v>63</v>
      </c>
      <c r="FY3" s="26" t="s">
        <v>15</v>
      </c>
      <c r="FZ3" s="31" t="s">
        <v>16</v>
      </c>
      <c r="GA3" s="29" t="s">
        <v>64</v>
      </c>
      <c r="GB3" s="26" t="s">
        <v>15</v>
      </c>
      <c r="GC3" s="31" t="s">
        <v>16</v>
      </c>
      <c r="GD3" s="29" t="s">
        <v>65</v>
      </c>
      <c r="GE3" s="26" t="s">
        <v>15</v>
      </c>
      <c r="GF3" s="31" t="s">
        <v>16</v>
      </c>
      <c r="GG3" s="34" t="s">
        <v>22</v>
      </c>
      <c r="GH3" s="25" t="s">
        <v>23</v>
      </c>
      <c r="GI3" s="26" t="s">
        <v>15</v>
      </c>
      <c r="GJ3" s="33"/>
      <c r="GK3" s="28"/>
      <c r="GL3" s="27"/>
      <c r="GM3" s="20" t="s">
        <v>66</v>
      </c>
      <c r="GN3" s="26" t="s">
        <v>15</v>
      </c>
      <c r="GO3" s="31" t="s">
        <v>16</v>
      </c>
      <c r="GP3" s="23" t="s">
        <v>67</v>
      </c>
      <c r="GQ3" s="26" t="s">
        <v>15</v>
      </c>
      <c r="GR3" s="31" t="s">
        <v>16</v>
      </c>
      <c r="GS3" s="29" t="s">
        <v>68</v>
      </c>
      <c r="GT3" s="26" t="s">
        <v>15</v>
      </c>
      <c r="GU3" s="31" t="s">
        <v>16</v>
      </c>
      <c r="GV3" s="34" t="s">
        <v>22</v>
      </c>
      <c r="GW3" s="25" t="s">
        <v>23</v>
      </c>
      <c r="GX3" s="26" t="s">
        <v>15</v>
      </c>
      <c r="GY3" s="33"/>
      <c r="GZ3" s="28"/>
      <c r="HA3" s="27"/>
      <c r="HB3" s="20" t="s">
        <v>69</v>
      </c>
      <c r="HC3" s="26" t="s">
        <v>15</v>
      </c>
      <c r="HD3" s="31" t="s">
        <v>16</v>
      </c>
      <c r="HE3" s="23" t="s">
        <v>70</v>
      </c>
      <c r="HF3" s="26" t="s">
        <v>15</v>
      </c>
      <c r="HG3" s="31" t="s">
        <v>16</v>
      </c>
      <c r="HH3" s="29" t="s">
        <v>71</v>
      </c>
      <c r="HI3" s="26" t="s">
        <v>15</v>
      </c>
      <c r="HJ3" s="31" t="s">
        <v>16</v>
      </c>
      <c r="HK3" s="34" t="s">
        <v>22</v>
      </c>
      <c r="HL3" s="25" t="s">
        <v>23</v>
      </c>
      <c r="HM3" s="26" t="s">
        <v>15</v>
      </c>
      <c r="HN3" s="35"/>
      <c r="HO3" s="14"/>
      <c r="HP3" s="15"/>
      <c r="HQ3" s="36" t="s">
        <v>72</v>
      </c>
      <c r="HR3" s="37" t="s">
        <v>15</v>
      </c>
      <c r="HS3" s="38" t="s">
        <v>16</v>
      </c>
      <c r="HT3" s="36" t="s">
        <v>73</v>
      </c>
      <c r="HU3" s="37" t="s">
        <v>15</v>
      </c>
      <c r="HV3" s="38" t="s">
        <v>16</v>
      </c>
      <c r="HW3" s="36" t="s">
        <v>74</v>
      </c>
      <c r="HX3" s="37" t="s">
        <v>15</v>
      </c>
      <c r="HY3" s="38" t="s">
        <v>16</v>
      </c>
      <c r="HZ3" s="38" t="s">
        <v>22</v>
      </c>
      <c r="IA3" s="39" t="s">
        <v>23</v>
      </c>
      <c r="IB3" s="37" t="s">
        <v>15</v>
      </c>
      <c r="IC3" s="17"/>
    </row>
    <row r="4">
      <c r="A4" s="40"/>
      <c r="B4" s="41"/>
      <c r="C4" s="42"/>
      <c r="D4" s="43" t="str">
        <f>IF(AND($B$4="M",C4="WA"),"M",IF(AND($B$4="M",C4="EXC"),"M",IF(AND($B$4="F",C4="WA"),"F",IF(AND($B$4="F",C4="EXC"),"F","-"))))</f>
        <v>-</v>
      </c>
      <c r="E4" s="44" t="str">
        <f t="shared" ref="E4:E31" si="1">IF(C4="WB",1,If(C4="WT",2,If(C4="WA",3,If(C4="Exc",4,""))))</f>
        <v/>
      </c>
      <c r="F4" s="42"/>
      <c r="G4" s="43" t="str">
        <f>IF(AND($B$4="M",F4="WA"),"M",IF(AND($B$4="M",F4="EXC"),"M",IF(AND($B$4="F",F4="WA"),"F",IF(AND($B$4="F",F4="EXC"),"F","-"))))</f>
        <v>-</v>
      </c>
      <c r="H4" s="44" t="str">
        <f t="shared" ref="H4:H31" si="2">IF(F4="WB",1,If(F4="WT",2,If(F4="WA",3,If(F4="Exc",4,""))))</f>
        <v/>
      </c>
      <c r="I4" s="42"/>
      <c r="J4" s="43" t="str">
        <f>IF(AND($B$4="M",I4="WA"),"M",IF(AND($B$4="M",I4="EXC"),"M",IF(AND($B$4="F",I4="WA"),"F",IF(AND($B$4="F",I4="EXC"),"F","-"))))</f>
        <v>-</v>
      </c>
      <c r="K4" s="44" t="str">
        <f t="shared" ref="K4:K31" si="3">IF(I4="WB",1,If(I4="WT",2,If(I4="WA",3,If(I4="Exc",4,""))))</f>
        <v/>
      </c>
      <c r="L4" s="42"/>
      <c r="M4" s="43" t="str">
        <f>IF(AND($B$4="M",L4="WA"),"M",IF(AND($B$4="M",L4="EXC"),"M",IF(AND($B$4="F",L4="WA"),"F",IF(AND($B$4="F",L4="EXC"),"F","-"))))</f>
        <v>-</v>
      </c>
      <c r="N4" s="44" t="str">
        <f t="shared" ref="N4:N31" si="4">IF(L4="WB",1,If(L4="WT",2,If(L4="WA",3,If(L4="Exc",4,""))))</f>
        <v/>
      </c>
      <c r="O4" s="42"/>
      <c r="P4" s="43" t="str">
        <f>IF(AND($B$4="M",O4="WA"),"M",IF(AND($B$4="M",O4="EXC"),"M",IF(AND($B$4="F",O4="WA"),"F",IF(AND($B$4="F",O4="EXC"),"F","-"))))</f>
        <v>-</v>
      </c>
      <c r="Q4" s="44" t="str">
        <f t="shared" ref="Q4:Q31" si="5">IF(O4="WB",1,If(O4="WT",2,If(O4="WA",3,If(O4="Exc",4,""))))</f>
        <v/>
      </c>
      <c r="R4" s="42"/>
      <c r="S4" s="43" t="str">
        <f>IF(AND($B$4="M",R4="WA"),"M",IF(AND($B$4="M",R4="EXC"),"M",IF(AND($B$4="F",R4="WA"),"F",IF(AND($B$4="F",R4="EXC"),"F","-"))))</f>
        <v>-</v>
      </c>
      <c r="T4" s="44" t="str">
        <f t="shared" ref="T4:T31" si="6">IF(R4="WB",1,If(R4="WT",2,If(R4="WA",3,If(R4="Exc",4,""))))</f>
        <v/>
      </c>
      <c r="U4" s="45" t="str">
        <f t="shared" ref="U4:U31" si="7">if(C4="","",if(F4="","", if(I4="","",if(L4="","",if(O4="","",if(R4="","",SUM(T4+Q4+N4+K4+H4+E4)))))))</f>
        <v/>
      </c>
      <c r="V4" s="46"/>
      <c r="W4" s="47" t="str">
        <f>IF(AND($B$4="M",V4="WA"),"M",IF(AND($B$4="M",V4="EXC"),"M",IF(AND($B$4="F",V4="WA"),"F",IF(AND($B$4="F",V4="EXC"),"F","-"))))</f>
        <v>-</v>
      </c>
      <c r="X4" s="48"/>
      <c r="Y4" s="49"/>
      <c r="Z4" s="48"/>
      <c r="AA4" s="50"/>
      <c r="AB4" s="43" t="str">
        <f>IF(AND($B$4="M",AA4="WA"),"M",IF(AND($B$4="M",AA4="EXC"),"M",IF(AND($B$4="F",AA4="WA"),"F",IF(AND($B$4="F",AA4="EXC"),"F","-"))))</f>
        <v>-</v>
      </c>
      <c r="AC4" s="44" t="str">
        <f t="shared" ref="AC4:AC31" si="8">IF(AA4="WB",1,If(AA4="WT",2,If(AA4="WA",3,If(AA4="Exc",4,""))))</f>
        <v/>
      </c>
      <c r="AD4" s="42"/>
      <c r="AE4" s="43" t="str">
        <f>IF(AND($B$4="M",AD4="WA"),"M",IF(AND($B$4="M",AD4="EXC"),"M",IF(AND($B$4="F",AD4="WA"),"F",IF(AND($B$4="F",AD4="EXC"),"F","-"))))</f>
        <v>-</v>
      </c>
      <c r="AF4" s="44" t="str">
        <f t="shared" ref="AF4:AF31" si="9">IF(AD4="WB",1,If(AD4="WT",2,If(AD4="WA",3,If(AD4="Exc",4,""))))</f>
        <v/>
      </c>
      <c r="AG4" s="42"/>
      <c r="AH4" s="43" t="str">
        <f>IF(AND($B$4="M",AG4="WA"),"M",IF(AND($B$4="M",AG4="EXC"),"M",IF(AND($B$4="F",AG4="WA"),"F",IF(AND($B$4="F",AG4="EXC"),"F","-"))))</f>
        <v>-</v>
      </c>
      <c r="AI4" s="44" t="str">
        <f t="shared" ref="AI4:AI31" si="10">IF(AG4="WB",1,If(AG4="WT",2,If(AG4="WA",3,If(AG4="Exc",4,""))))</f>
        <v/>
      </c>
      <c r="AJ4" s="42"/>
      <c r="AK4" s="43" t="str">
        <f>IF(AND($B$4="M",AJ4="WA"),"M",IF(AND($B$4="M",AJ4="EXC"),"M",IF(AND($B$4="F",AJ4="WA"),"F",IF(AND($B$4="F",AJ4="EXC"),"F","-"))))</f>
        <v>-</v>
      </c>
      <c r="AL4" s="44" t="str">
        <f t="shared" ref="AL4:AL31" si="11">IF(AJ4="WB",1,If(AJ4="WT",2,If(AJ4="WA",3,If(AJ4="Exc",4,""))))</f>
        <v/>
      </c>
      <c r="AM4" s="42"/>
      <c r="AN4" s="43" t="str">
        <f>IF(AND($B$4="M",AM4="WA"),"M",IF(AND($B$4="M",AM4="EXC"),"M",IF(AND($B$4="F",AM4="WA"),"F",IF(AND($B$4="F",AM4="EXC"),"F","-"))))</f>
        <v>-</v>
      </c>
      <c r="AO4" s="45" t="str">
        <f t="shared" ref="AO4:AO31" si="12">IF(AM4="WB",1,If(AM4="WT",2,If(AM4="WA",3,If(AM4="Exc",4,""))))</f>
        <v/>
      </c>
      <c r="AP4" s="42"/>
      <c r="AQ4" s="43" t="str">
        <f>IF(AND($B$4="M",AP4="WA"),"M",IF(AND($B$4="M",AP4="EXC"),"M",IF(AND($B$4="F",AP4="WA"),"F",IF(AND($B$4="F",AP4="EXC"),"F","-"))))</f>
        <v>-</v>
      </c>
      <c r="AR4" s="45" t="str">
        <f t="shared" ref="AR4:AR31" si="13">IF(AP4="WB",1,If(AP4="WT",2,If(AP4="WA",3,If(AP4="Exc",4,""))))</f>
        <v/>
      </c>
      <c r="AS4" s="45" t="str">
        <f t="shared" ref="AS4:AS31" si="14">if(AA4="","",if(AD4="","", if(AG4="","",if(AJ4="","",if(AM4="","",if(AP4="","",SUM(AR4+AO4+AL4+AI4+AF4+AC4)))))))</f>
        <v/>
      </c>
      <c r="AT4" s="51"/>
      <c r="AU4" s="47" t="str">
        <f>IF(AND($B$4="M",AT4="WA"),"M",IF(AND($B$4="M",AT4="EXC"),"M",IF(AND($B$4="F",AT4="WA"),"F",IF(AND($B$4="F",AT4="EXC"),"F","-"))))</f>
        <v>-</v>
      </c>
      <c r="AV4" s="52"/>
      <c r="AW4" s="53"/>
      <c r="AX4" s="48"/>
      <c r="AY4" s="50"/>
      <c r="AZ4" s="43" t="str">
        <f>IF(AND($B$4="M",AY4="WA"),"M",IF(AND($B$4="M",AY4="EXC"),"M",IF(AND($B$4="F",AY4="WA"),"F",IF(AND($B$4="F",AY4="EXC"),"F","-"))))</f>
        <v>-</v>
      </c>
      <c r="BA4" s="44" t="str">
        <f t="shared" ref="BA4:BA31" si="15">IF(AY4="WB",1,If(AY4="WT",2,If(AY4="WA",3,If(AY4="Exc",4,""))))</f>
        <v/>
      </c>
      <c r="BB4" s="42"/>
      <c r="BC4" s="43" t="str">
        <f>IF(AND($B$4="M",BB4="WA"),"M",IF(AND($B$4="M",BB4="EXC"),"M",IF(AND($B$4="F",BB4="WA"),"F",IF(AND($B$4="F",BB4="EXC"),"F","-"))))</f>
        <v>-</v>
      </c>
      <c r="BD4" s="44" t="str">
        <f t="shared" ref="BD4:BD31" si="16">IF(BB4="WB",1,If(BB4="WT",2,If(BB4="WA",3,If(BB4="Exc",4,""))))</f>
        <v/>
      </c>
      <c r="BE4" s="42"/>
      <c r="BF4" s="43" t="str">
        <f>IF(AND($B$4="M",BE4="WA"),"M",IF(AND($B$4="M",BE4="EXC"),"M",IF(AND($B$4="F",BE4="WA"),"F",IF(AND($B$4="F",BE4="EXC"),"F","-"))))</f>
        <v>-</v>
      </c>
      <c r="BG4" s="44" t="str">
        <f t="shared" ref="BG4:BG31" si="17">IF(BE4="WB",1,If(BE4="WT",2,If(BE4="WA",3,If(BE4="Exc",4,""))))</f>
        <v/>
      </c>
      <c r="BH4" s="42"/>
      <c r="BI4" s="43" t="str">
        <f>IF(AND($B$4="M",BH4="WA"),"M",IF(AND($B$4="M",BH4="EXC"),"M",IF(AND($B$4="F",BH4="WA"),"F",IF(AND($B$4="F",BH4="EXC"),"F","-"))))</f>
        <v>-</v>
      </c>
      <c r="BJ4" s="44" t="str">
        <f t="shared" ref="BJ4:BJ31" si="18">IF(BH4="WB",1,If(BH4="WT",2,If(BH4="WA",3,If(BH4="Exc",4,""))))</f>
        <v/>
      </c>
      <c r="BK4" s="42"/>
      <c r="BL4" s="43" t="str">
        <f>IF(AND($B$4="M",BK4="WA"),"M",IF(AND($B$4="M",BK4="EXC"),"M",IF(AND($B$4="F",BK4="WA"),"F",IF(AND($B$4="F",BK4="EXC"),"F","-"))))</f>
        <v>-</v>
      </c>
      <c r="BM4" s="45" t="str">
        <f t="shared" ref="BM4:BM31" si="19">IF(BK4="WB",1,If(BK4="WT",2,If(BK4="WA",3,If(BK4="Exc",4,""))))</f>
        <v/>
      </c>
      <c r="BN4" s="42"/>
      <c r="BO4" s="43" t="str">
        <f>IF(AND($B$4="M",BN4="WA"),"M",IF(AND($B$4="M",BN4="EXC"),"M",IF(AND($B$4="F",BN4="WA"),"F",IF(AND($B$4="F",BN4="EXC"),"F","-"))))</f>
        <v>-</v>
      </c>
      <c r="BP4" s="45" t="str">
        <f t="shared" ref="BP4:BP31" si="20">IF(BN4="WB",1,If(BN4="WT",2,If(BN4="WA",3,If(BN4="Exc",4,""))))</f>
        <v/>
      </c>
      <c r="BQ4" s="45" t="str">
        <f t="shared" ref="BQ4:BQ31" si="21">if(AY4="","",if(BB4="","", if(BE4="","",if(BH4="","",if(BK4="","",if(BN4="","",SUM(BP4+BM4+BJ4+BG4+BD4+BA4)))))))</f>
        <v/>
      </c>
      <c r="BR4" s="51"/>
      <c r="BS4" s="47" t="str">
        <f>IF(AND($B$4="M",BR4="WA"),"M",IF(AND($B$4="M",BR4="EXC"),"M",IF(AND($B$4="F",BR4="WA"),"F",IF(AND($B$4="F",BR4="EXC"),"F","-"))))</f>
        <v>-</v>
      </c>
      <c r="BT4" s="52"/>
      <c r="BU4" s="53"/>
      <c r="BV4" s="48"/>
      <c r="BW4" s="50"/>
      <c r="BX4" s="43" t="str">
        <f>IF(AND($B$4="M",BW4="WA"),"M",IF(AND($B$4="M",BW4="EXC"),"M",IF(AND($B$4="F",BW4="WA"),"F",IF(AND($B$4="F",BW4="EXC"),"F","-"))))</f>
        <v>-</v>
      </c>
      <c r="BY4" s="44" t="str">
        <f t="shared" ref="BY4:BY31" si="22">IF(BW4="WB",1,If(BW4="WT",2,If(BW4="WA",3,If(BW4="Exc",4,""))))</f>
        <v/>
      </c>
      <c r="BZ4" s="42"/>
      <c r="CA4" s="43" t="str">
        <f>IF(AND($B$4="M",BZ4="WA"),"M",IF(AND($B$4="M",BZ4="EXC"),"M",IF(AND($B$4="F",BZ4="WA"),"F",IF(AND($B$4="F",BZ4="EXC"),"F","-"))))</f>
        <v>-</v>
      </c>
      <c r="CB4" s="44" t="str">
        <f t="shared" ref="CB4:CB31" si="23">IF(BZ4="WB",1,If(BZ4="WT",2,If(BZ4="WA",3,If(BZ4="Exc",4,""))))</f>
        <v/>
      </c>
      <c r="CC4" s="42"/>
      <c r="CD4" s="43" t="str">
        <f>IF(AND($B$4="M",CC4="WA"),"M",IF(AND($B$4="M",CC4="EXC"),"M",IF(AND($B$4="F",CC4="WA"),"F",IF(AND($B$4="F",CC4="EXC"),"F","-"))))</f>
        <v>-</v>
      </c>
      <c r="CE4" s="44" t="str">
        <f t="shared" ref="CE4:CE31" si="24">IF(CC4="WB",1,If(CC4="WT",2,If(CC4="WA",3,If(CC4="Exc",4,""))))</f>
        <v/>
      </c>
      <c r="CF4" s="42"/>
      <c r="CG4" s="43" t="str">
        <f>IF(AND($B$4="M",CF4="WA"),"M",IF(AND($B$4="M",CF4="EXC"),"M",IF(AND($B$4="F",CF4="WA"),"F",IF(AND($B$4="F",CF4="EXC"),"F","-"))))</f>
        <v>-</v>
      </c>
      <c r="CH4" s="44" t="str">
        <f t="shared" ref="CH4:CH31" si="25">IF(CF4="WB",1,If(CF4="WT",2,If(CF4="WA",3,If(CF4="Exc",4,""))))</f>
        <v/>
      </c>
      <c r="CI4" s="42"/>
      <c r="CJ4" s="43" t="str">
        <f>IF(AND($B$4="M",CI4="WA"),"M",IF(AND($B$4="M",CI4="EXC"),"M",IF(AND($B$4="F",CI4="WA"),"F",IF(AND($B$4="F",CI4="EXC"),"F","-"))))</f>
        <v>-</v>
      </c>
      <c r="CK4" s="45" t="str">
        <f t="shared" ref="CK4:CK31" si="26">IF(CI4="WB",1,If(CI4="WT",2,If(CI4="WA",3,If(CI4="Exc",4,""))))</f>
        <v/>
      </c>
      <c r="CL4" s="42"/>
      <c r="CM4" s="43" t="str">
        <f>IF(AND($B$4="M",CL4="WA"),"M",IF(AND($B$4="M",CL4="EXC"),"M",IF(AND($B$4="F",CL4="WA"),"F",IF(AND($B$4="F",CL4="EXC"),"F","-"))))</f>
        <v>-</v>
      </c>
      <c r="CN4" s="45" t="str">
        <f t="shared" ref="CN4:CN31" si="27">IF(CL4="WB",1,If(CL4="WT",2,If(CL4="WA",3,If(CL4="Exc",4,""))))</f>
        <v/>
      </c>
      <c r="CO4" s="45" t="str">
        <f t="shared" ref="CO4:CO31" si="28">if(BW4="","",if(BZ4="","", if(CC4="","",if(CF4="","",if(CI4="","",if(CL4="","",SUM(CN4+CK4+CH4+CE4+CB4+BY4)))))))</f>
        <v/>
      </c>
      <c r="CP4" s="51"/>
      <c r="CQ4" s="47" t="str">
        <f>IF(AND($B$4="M",CP4="WA"),"M",IF(AND($B$4="M",CP4="EXC"),"M",IF(AND($B$4="F",CP4="WA"),"F",IF(AND($B$4="F",CP4="EXC"),"F","-"))))</f>
        <v>-</v>
      </c>
      <c r="CR4" s="52"/>
      <c r="CS4" s="53"/>
      <c r="CT4" s="48"/>
      <c r="CU4" s="50"/>
      <c r="CV4" s="43" t="str">
        <f>IF(AND($B$4="M",CU4="WA"),"M",IF(AND($B$4="M",CU4="EXC"),"M",IF(AND($B$4="F",CU4="WA"),"F",IF(AND($B$4="F",CU4="EXC"),"F","-"))))</f>
        <v>-</v>
      </c>
      <c r="CW4" s="44" t="str">
        <f t="shared" ref="CW4:CW31" si="29">IF(CU4="WB",1,If(CU4="WT",2,If(CU4="WA",3,If(CU4="Exc",4,""))))</f>
        <v/>
      </c>
      <c r="CX4" s="42"/>
      <c r="CY4" s="43" t="str">
        <f>IF(AND($B$4="M",CX4="WA"),"M",IF(AND($B$4="M",CX4="EXC"),"M",IF(AND($B$4="F",CX4="WA"),"F",IF(AND($B$4="F",CX4="EXC"),"F","-"))))</f>
        <v>-</v>
      </c>
      <c r="CZ4" s="44" t="str">
        <f t="shared" ref="CZ4:CZ31" si="30">IF(CX4="WB",1,If(CX4="WT",2,If(CX4="WA",3,If(CX4="Exc",4,""))))</f>
        <v/>
      </c>
      <c r="DA4" s="42"/>
      <c r="DB4" s="43" t="str">
        <f>IF(AND($B$4="M",DA4="WA"),"M",IF(AND($B$4="M",DA4="EXC"),"M",IF(AND($B$4="F",DA4="WA"),"F",IF(AND($B$4="F",DA4="EXC"),"F","-"))))</f>
        <v>-</v>
      </c>
      <c r="DC4" s="44" t="str">
        <f t="shared" ref="DC4:DC31" si="31">IF(DA4="WB",1,If(DA4="WT",2,If(DA4="WA",3,If(DA4="Exc",4,""))))</f>
        <v/>
      </c>
      <c r="DD4" s="42"/>
      <c r="DE4" s="43" t="str">
        <f>IF(AND($B$4="M",DD4="WA"),"M",IF(AND($B$4="M",DD4="EXC"),"M",IF(AND($B$4="F",DD4="WA"),"F",IF(AND($B$4="F",DD4="EXC"),"F","-"))))</f>
        <v>-</v>
      </c>
      <c r="DF4" s="44" t="str">
        <f t="shared" ref="DF4:DF31" si="32">IF(DD4="WB",1,If(DD4="WT",2,If(DD4="WA",3,If(DD4="Exc",4,""))))</f>
        <v/>
      </c>
      <c r="DG4" s="42"/>
      <c r="DH4" s="43" t="str">
        <f>IF(AND($B$4="M",DG4="WA"),"M",IF(AND($B$4="M",DG4="EXC"),"M",IF(AND($B$4="F",DG4="WA"),"F",IF(AND($B$4="F",DG4="EXC"),"F","-"))))</f>
        <v>-</v>
      </c>
      <c r="DI4" s="45" t="str">
        <f t="shared" ref="DI4:DI31" si="33">IF(DG4="WB",1,If(DG4="WT",2,If(DG4="WA",3,If(DG4="Exc",4,""))))</f>
        <v/>
      </c>
      <c r="DJ4" s="42"/>
      <c r="DK4" s="43" t="str">
        <f>IF(AND($B$4="M",DJ4="WA"),"M",IF(AND($B$4="M",DJ4="EXC"),"M",IF(AND($B$4="F",DJ4="WA"),"F",IF(AND($B$4="F",DJ4="EXC"),"F","-"))))</f>
        <v>-</v>
      </c>
      <c r="DL4" s="45" t="str">
        <f t="shared" ref="DL4:DL31" si="34">IF(DJ4="WB",1,If(DJ4="WT",2,If(DJ4="WA",3,If(DJ4="Exc",4,""))))</f>
        <v/>
      </c>
      <c r="DM4" s="45" t="str">
        <f t="shared" ref="DM4:DM31" si="35">if(CU4="","",if(CX4="","", if(DA4="","",if(DD4="","",if(DG4="","",if(DJ4="","",SUM(DL4+DI4+DF4+DC4+CZ4+CW4)))))))</f>
        <v/>
      </c>
      <c r="DN4" s="51"/>
      <c r="DO4" s="47" t="str">
        <f>IF(AND($B$4="M",DN4="WA"),"M",IF(AND($B$4="M",DN4="EXC"),"M",IF(AND($B$4="F",DN4="WA"),"F",IF(AND($B$4="F",DN4="EXC"),"F","-"))))</f>
        <v>-</v>
      </c>
      <c r="DP4" s="52"/>
      <c r="DQ4" s="53"/>
      <c r="DR4" s="48"/>
      <c r="DS4" s="50"/>
      <c r="DT4" s="43" t="str">
        <f>IF(AND($B$4="M",DS4="WA"),"M",IF(AND($B$4="M",DS4="EXC"),"M",IF(AND($B$4="F",DS4="WA"),"F",IF(AND($B$4="F",DS4="EXC"),"F","-"))))</f>
        <v>-</v>
      </c>
      <c r="DU4" s="44" t="str">
        <f t="shared" ref="DU4:DU31" si="36">IF(DS4="WB",1,If(DS4="WT",2,If(DS4="WA",3,If(DS4="Exc",4,""))))</f>
        <v/>
      </c>
      <c r="DV4" s="42"/>
      <c r="DW4" s="43" t="str">
        <f>IF(AND($B$4="M",DV4="WA"),"M",IF(AND($B$4="M",DV4="EXC"),"M",IF(AND($B$4="F",DV4="WA"),"F",IF(AND($B$4="F",DV4="EXC"),"F","-"))))</f>
        <v>-</v>
      </c>
      <c r="DX4" s="44" t="str">
        <f t="shared" ref="DX4:DX31" si="37">IF(DV4="WB",1,If(DV4="WT",2,If(DV4="WA",3,If(DV4="Exc",4,""))))</f>
        <v/>
      </c>
      <c r="DY4" s="42"/>
      <c r="DZ4" s="43" t="str">
        <f>IF(AND($B$4="M",DY4="WA"),"M",IF(AND($B$4="M",DY4="EXC"),"M",IF(AND($B$4="F",DY4="WA"),"F",IF(AND($B$4="F",DY4="EXC"),"F","-"))))</f>
        <v>-</v>
      </c>
      <c r="EA4" s="44" t="str">
        <f t="shared" ref="EA4:EA31" si="38">IF(DY4="WB",1,If(DY4="WT",2,If(DY4="WA",3,If(DY4="Exc",4,""))))</f>
        <v/>
      </c>
      <c r="EB4" s="42"/>
      <c r="EC4" s="43" t="str">
        <f>IF(AND($B$4="M",EB4="WA"),"M",IF(AND($B$4="M",EB4="EXC"),"M",IF(AND($B$4="F",EB4="WA"),"F",IF(AND($B$4="F",EB4="EXC"),"F","-"))))</f>
        <v>-</v>
      </c>
      <c r="ED4" s="44" t="str">
        <f t="shared" ref="ED4:ED31" si="39">IF(EB4="WB",1,If(EB4="WT",2,If(EB4="WA",3,If(EB4="Exc",4,""))))</f>
        <v/>
      </c>
      <c r="EE4" s="42"/>
      <c r="EF4" s="43" t="str">
        <f>IF(AND($B$4="M",EE4="WA"),"M",IF(AND($B$4="M",EE4="EXC"),"M",IF(AND($B$4="F",EE4="WA"),"F",IF(AND($B$4="F",EE4="EXC"),"F","-"))))</f>
        <v>-</v>
      </c>
      <c r="EG4" s="45" t="str">
        <f t="shared" ref="EG4:EG31" si="40">IF(EE4="WB",1,If(EE4="WT",2,If(EE4="WA",3,If(EE4="Exc",4,""))))</f>
        <v/>
      </c>
      <c r="EH4" s="42"/>
      <c r="EI4" s="43" t="str">
        <f>IF(AND($B$4="M",EH4="WA"),"M",IF(AND($B$4="M",EH4="EXC"),"M",IF(AND($B$4="F",EH4="WA"),"F",IF(AND($B$4="F",EH4="EXC"),"F","-"))))</f>
        <v>-</v>
      </c>
      <c r="EJ4" s="45" t="str">
        <f t="shared" ref="EJ4:EJ31" si="41">IF(EH4="WB",1,If(EH4="WT",2,If(EH4="WA",3,If(EH4="Exc",4,""))))</f>
        <v/>
      </c>
      <c r="EK4" s="45" t="str">
        <f t="shared" ref="EK4:EK31" si="42">if(DS4="","",if(DV4="","", if(DY4="","",if(EB4="","",if(EE4="","",if(EH4="","",SUM(EJ4+EG4+ED4+EA4+DX4+DU4)))))))</f>
        <v/>
      </c>
      <c r="EL4" s="51"/>
      <c r="EM4" s="47" t="str">
        <f>IF(AND($B$4="M",EL4="WA"),"M",IF(AND($B$4="M",EL4="EXC"),"M",IF(AND($B$4="F",EL4="WA"),"F",IF(AND($B$4="F",EL4="EXC"),"F","-"))))</f>
        <v>-</v>
      </c>
      <c r="EN4" s="52"/>
      <c r="EO4" s="53"/>
      <c r="EP4" s="48"/>
      <c r="EQ4" s="50"/>
      <c r="ER4" s="43" t="str">
        <f>IF(AND($B$4="M",EQ4="WA"),"M",IF(AND($B$4="M",EQ4="EXC"),"M",IF(AND($B$4="F",EQ4="WA"),"F",IF(AND($B$4="F",EQ4="EXC"),"F","-"))))</f>
        <v>-</v>
      </c>
      <c r="ES4" s="44" t="str">
        <f t="shared" ref="ES4:ES31" si="43">IF(EQ4="WB",1,If(EQ4="WT",2,If(EQ4="WA",3,If(EQ4="Exc",4,""))))</f>
        <v/>
      </c>
      <c r="ET4" s="42"/>
      <c r="EU4" s="43" t="str">
        <f>IF(AND($B$4="M",ET4="WA"),"M",IF(AND($B$4="M",ET4="EXC"),"M",IF(AND($B$4="F",ET4="WA"),"F",IF(AND($B$4="F",ET4="EXC"),"F","-"))))</f>
        <v>-</v>
      </c>
      <c r="EV4" s="44" t="str">
        <f t="shared" ref="EV4:EV31" si="44">IF(ET4="WB",1,If(ET4="WT",2,If(ET4="WA",3,If(ET4="Exc",4,""))))</f>
        <v/>
      </c>
      <c r="EW4" s="42"/>
      <c r="EX4" s="43" t="str">
        <f>IF(AND($B$4="M",EW4="WA"),"M",IF(AND($B$4="M",EW4="EXC"),"M",IF(AND($B$4="F",EW4="WA"),"F",IF(AND($B$4="F",EW4="EXC"),"F","-"))))</f>
        <v>-</v>
      </c>
      <c r="EY4" s="44" t="str">
        <f t="shared" ref="EY4:EY31" si="45">IF(EW4="WB",1,If(EW4="WT",2,If(EW4="WA",3,If(EW4="Exc",4,""))))</f>
        <v/>
      </c>
      <c r="EZ4" s="42"/>
      <c r="FA4" s="43" t="str">
        <f>IF(AND($B$4="M",EZ4="WA"),"M",IF(AND($B$4="M",EZ4="EXC"),"M",IF(AND($B$4="F",EZ4="WA"),"F",IF(AND($B$4="F",EZ4="EXC"),"F","-"))))</f>
        <v>-</v>
      </c>
      <c r="FB4" s="44" t="str">
        <f t="shared" ref="FB4:FB31" si="46">IF(EZ4="WB",1,If(EZ4="WT",2,If(EZ4="WA",3,If(EZ4="Exc",4,""))))</f>
        <v/>
      </c>
      <c r="FC4" s="42"/>
      <c r="FD4" s="43" t="str">
        <f>IF(AND($B$4="M",FC4="WA"),"M",IF(AND($B$4="M",FC4="EXC"),"M",IF(AND($B$4="F",FC4="WA"),"F",IF(AND($B$4="F",FC4="EXC"),"F","-"))))</f>
        <v>-</v>
      </c>
      <c r="FE4" s="45" t="str">
        <f t="shared" ref="FE4:FE31" si="47">IF(FC4="WB",1,If(FC4="WT",2,If(FC4="WA",3,If(FC4="Exc",4,""))))</f>
        <v/>
      </c>
      <c r="FF4" s="42"/>
      <c r="FG4" s="43" t="str">
        <f>IF(AND($B$4="M",FF4="WA"),"M",IF(AND($B$4="M",FF4="EXC"),"M",IF(AND($B$4="F",FF4="WA"),"F",IF(AND($B$4="F",FF4="EXC"),"F","-"))))</f>
        <v>-</v>
      </c>
      <c r="FH4" s="45" t="str">
        <f t="shared" ref="FH4:FH31" si="48">IF(FF4="WB",1,If(FF4="WT",2,If(FF4="WA",3,If(FF4="Exc",4,""))))</f>
        <v/>
      </c>
      <c r="FI4" s="45" t="str">
        <f t="shared" ref="FI4:FI31" si="49">if(EQ4="","",if(ET4="","", if(EW4="","",if(EZ4="","",if(FC4="","",if(FF4="","",SUM(FH4+FE4+FB4+EY4+EV4+ES4)))))))</f>
        <v/>
      </c>
      <c r="FJ4" s="51"/>
      <c r="FK4" s="47" t="str">
        <f>IF(AND($B$4="M",FJ4="WA"),"M",IF(AND($B$4="M",FJ4="EXC"),"M",IF(AND($B$4="F",FJ4="WA"),"F",IF(AND($B$4="F",FJ4="EXC"),"F","-"))))</f>
        <v>-</v>
      </c>
      <c r="FL4" s="52"/>
      <c r="FM4" s="53"/>
      <c r="FN4" s="48"/>
      <c r="FO4" s="50"/>
      <c r="FP4" s="43" t="str">
        <f>IF(AND($B$4="M",FO4="WA"),"M",IF(AND($B$4="M",FO4="EXC"),"M",IF(AND($B$4="F",FO4="WA"),"F",IF(AND($B$4="F",FO4="EXC"),"F","-"))))</f>
        <v>-</v>
      </c>
      <c r="FQ4" s="44" t="str">
        <f t="shared" ref="FQ4:FQ31" si="50">IF(FO4="WB",1,If(FO4="WT",2,If(FO4="WA",3,If(FO4="Exc",4,""))))</f>
        <v/>
      </c>
      <c r="FR4" s="42"/>
      <c r="FS4" s="43" t="str">
        <f>IF(AND($B$4="M",FR4="WA"),"M",IF(AND($B$4="M",FR4="EXC"),"M",IF(AND($B$4="F",FR4="WA"),"F",IF(AND($B$4="F",FR4="EXC"),"F","-"))))</f>
        <v>-</v>
      </c>
      <c r="FT4" s="44" t="str">
        <f t="shared" ref="FT4:FT31" si="51">IF(FR4="WB",1,If(FR4="WT",2,If(FR4="WA",3,If(FR4="Exc",4,""))))</f>
        <v/>
      </c>
      <c r="FU4" s="42"/>
      <c r="FV4" s="43" t="str">
        <f>IF(AND($B$4="M",FU4="WA"),"M",IF(AND($B$4="M",FU4="EXC"),"M",IF(AND($B$4="F",FU4="WA"),"F",IF(AND($B$4="F",FU4="EXC"),"F","-"))))</f>
        <v>-</v>
      </c>
      <c r="FW4" s="44" t="str">
        <f t="shared" ref="FW4:FW31" si="52">IF(FU4="WB",1,If(FU4="WT",2,If(FU4="WA",3,If(FU4="Exc",4,""))))</f>
        <v/>
      </c>
      <c r="FX4" s="42"/>
      <c r="FY4" s="43" t="str">
        <f>IF(AND($B$4="M",FX4="WA"),"M",IF(AND($B$4="M",FX4="EXC"),"M",IF(AND($B$4="F",FX4="WA"),"F",IF(AND($B$4="F",FX4="EXC"),"F","-"))))</f>
        <v>-</v>
      </c>
      <c r="FZ4" s="44" t="str">
        <f t="shared" ref="FZ4:FZ31" si="53">IF(FX4="WB",1,If(FX4="WT",2,If(FX4="WA",3,If(FX4="Exc",4,""))))</f>
        <v/>
      </c>
      <c r="GA4" s="42"/>
      <c r="GB4" s="43" t="str">
        <f>IF(AND($B$4="M",GA4="WA"),"M",IF(AND($B$4="M",GA4="EXC"),"M",IF(AND($B$4="F",GA4="WA"),"F",IF(AND($B$4="F",GA4="EXC"),"F","-"))))</f>
        <v>-</v>
      </c>
      <c r="GC4" s="45" t="str">
        <f t="shared" ref="GC4:GC31" si="54">IF(GA4="WB",1,If(GA4="WT",2,If(GA4="WA",3,If(GA4="Exc",4,""))))</f>
        <v/>
      </c>
      <c r="GD4" s="42"/>
      <c r="GE4" s="43" t="str">
        <f>IF(AND($B$4="M",GD4="WA"),"M",IF(AND($B$4="M",GD4="EXC"),"M",IF(AND($B$4="F",GD4="WA"),"F",IF(AND($B$4="F",GD4="EXC"),"F","-"))))</f>
        <v>-</v>
      </c>
      <c r="GF4" s="45" t="str">
        <f t="shared" ref="GF4:GF31" si="55">IF(GD4="WB",1,If(GD4="WT",2,If(GD4="WA",3,If(GD4="Exc",4,""))))</f>
        <v/>
      </c>
      <c r="GG4" s="45" t="str">
        <f t="shared" ref="GG4:GG31" si="56">if(FO4="","",if(FR4="","", if(FU4="","",if(FX4="","",if(GA4="","",if(GD4="","",SUM(GF4+GC4+FZ4+FW4+FT4+FQ4)))))))</f>
        <v/>
      </c>
      <c r="GH4" s="51"/>
      <c r="GI4" s="47" t="str">
        <f>IF(AND($B$4="M",GH4="WA"),"M",IF(AND($B$4="M",GH4="EXC"),"M",IF(AND($B$4="F",GH4="WA"),"F",IF(AND($B$4="F",GH4="EXC"),"F","-"))))</f>
        <v>-</v>
      </c>
      <c r="GJ4" s="52"/>
      <c r="GK4" s="53"/>
      <c r="GL4" s="48"/>
      <c r="GM4" s="50"/>
      <c r="GN4" s="43" t="str">
        <f>IF(AND($B$4="M",GM4="WA"),"M",IF(AND($B$4="M",GM4="EXC"),"M",IF(AND($B$4="F",GM4="WA"),"F",IF(AND($B$4="F",GM4="EXC"),"F","-"))))</f>
        <v>-</v>
      </c>
      <c r="GO4" s="44" t="str">
        <f t="shared" ref="GO4:GO31" si="57">IF(GM4="WB",1,If(GM4="WT",2,If(GM4="WA",3,If(GM4="Exc",4,""))))</f>
        <v/>
      </c>
      <c r="GP4" s="42"/>
      <c r="GQ4" s="43" t="str">
        <f>IF(AND($B$4="M",GP4="WA"),"M",IF(AND($B$4="M",GP4="EXC"),"M",IF(AND($B$4="F",GP4="WA"),"F",IF(AND($B$4="F",GP4="EXC"),"F","-"))))</f>
        <v>-</v>
      </c>
      <c r="GR4" s="44" t="str">
        <f t="shared" ref="GR4:GR31" si="58">IF(GP4="WB",1,If(GP4="WT",2,If(GP4="WA",3,If(GP4="Exc",4,""))))</f>
        <v/>
      </c>
      <c r="GS4" s="42"/>
      <c r="GT4" s="43" t="str">
        <f>IF(AND($B$4="M",GS4="WA"),"M",IF(AND($B$4="M",GS4="EXC"),"M",IF(AND($B$4="F",GS4="WA"),"F",IF(AND($B$4="F",GS4="EXC"),"F","-"))))</f>
        <v>-</v>
      </c>
      <c r="GU4" s="44" t="str">
        <f t="shared" ref="GU4:GU31" si="59">IF(GS4="WB",1,If(GS4="WT",2,If(GS4="WA",3,If(GS4="Exc",4,""))))</f>
        <v/>
      </c>
      <c r="GV4" s="45" t="str">
        <f t="shared" ref="GV4:GV31" si="60">if(GM4="","",if(GP4="","", if(GS4="","",SUM(GU4+GR4+GO4))))</f>
        <v/>
      </c>
      <c r="GW4" s="51"/>
      <c r="GX4" s="47" t="str">
        <f>IF(AND($B$4="M",GW4="WA"),"M",IF(AND($B$4="M",GW4="EXC"),"M",IF(AND($B$4="F",GW4="WA"),"F",IF(AND($B$4="F",GW4="EXC"),"F","-"))))</f>
        <v>-</v>
      </c>
      <c r="GY4" s="52"/>
      <c r="GZ4" s="53"/>
      <c r="HA4" s="48"/>
      <c r="HB4" s="50"/>
      <c r="HC4" s="43" t="str">
        <f>IF(AND($B$4="M",HB4="WA"),"M",IF(AND($B$4="M",HB4="EXC"),"M",IF(AND($B$4="F",HB4="WA"),"F",IF(AND($B$4="F",HB4="EXC"),"F","-"))))</f>
        <v>-</v>
      </c>
      <c r="HD4" s="44" t="str">
        <f t="shared" ref="HD4:HD31" si="61">IF(HB4="WB",1,If(HB4="WT",2,If(HB4="WA",3,If(HB4="Exc",4,""))))</f>
        <v/>
      </c>
      <c r="HE4" s="42"/>
      <c r="HF4" s="43" t="str">
        <f>IF(AND($B$4="M",HE4="WA"),"M",IF(AND($B$4="M",HE4="EXC"),"M",IF(AND($B$4="F",HE4="WA"),"F",IF(AND($B$4="F",HE4="EXC"),"F","-"))))</f>
        <v>-</v>
      </c>
      <c r="HG4" s="44" t="str">
        <f t="shared" ref="HG4:HG31" si="62">IF(HE4="WB",1,If(HE4="WT",2,If(HE4="WA",3,If(HE4="Exc",4,""))))</f>
        <v/>
      </c>
      <c r="HH4" s="42"/>
      <c r="HI4" s="43" t="str">
        <f>IF(AND($B$4="M",HH4="WA"),"M",IF(AND($B$4="M",HH4="EXC"),"M",IF(AND($B$4="F",HH4="WA"),"F",IF(AND($B$4="F",HH4="EXC"),"F","-"))))</f>
        <v>-</v>
      </c>
      <c r="HJ4" s="44" t="str">
        <f t="shared" ref="HJ4:HJ31" si="63">IF(HH4="WB",1,If(HH4="WT",2,If(HH4="WA",3,If(HH4="Exc",4,""))))</f>
        <v/>
      </c>
      <c r="HK4" s="45" t="str">
        <f t="shared" ref="HK4:HK31" si="64">if(HB4="","",if(HE4="","", if(HH4="","",SUM(HJ4+HG4+HD4))))</f>
        <v/>
      </c>
      <c r="HL4" s="51"/>
      <c r="HM4" s="47" t="str">
        <f>IF(AND($B$4="M",HL4="WA"),"M",IF(AND($B$4="M",HL4="EXC"),"M",IF(AND($B$4="F",HL4="WA"),"F",IF(AND($B$4="F",HL4="EXC"),"F","-"))))</f>
        <v>-</v>
      </c>
      <c r="HN4" s="13"/>
      <c r="HO4" s="14"/>
      <c r="HP4" s="15"/>
      <c r="HQ4" s="54"/>
      <c r="HR4" s="55" t="str">
        <f>IF(AND($B$4="M",HQ4="WA"),"M",IF(AND($B$4="M",HQ4="EXC"),"M",IF(AND($B$4="F",HQ4="WA"),"F",IF(AND($B$4="F",HQ4="EXC"),"F","-"))))</f>
        <v>-</v>
      </c>
      <c r="HS4" s="56" t="str">
        <f t="shared" ref="HS4:HS31" si="65">IF(HQ4="WB",1,If(HQ4="WT",2,If(HQ4="WA",3,If(HQ4="Exc",4,""))))</f>
        <v/>
      </c>
      <c r="HT4" s="54"/>
      <c r="HU4" s="55" t="str">
        <f>IF(AND($B$4="M",HT4="WA"),"M",IF(AND($B$4="M",HT4="EXC"),"M",IF(AND($B$4="F",HT4="WA"),"F",IF(AND($B$4="F",HT4="EXC"),"F","-"))))</f>
        <v>-</v>
      </c>
      <c r="HV4" s="56" t="str">
        <f t="shared" ref="HV4:HV31" si="66">IF(HT4="WB",1,If(HT4="WT",2,If(HT4="WA",3,If(HT4="Exc",4,""))))</f>
        <v/>
      </c>
      <c r="HW4" s="54"/>
      <c r="HX4" s="55" t="str">
        <f>IF(AND($B$4="M",HW4="WA"),"M",IF(AND($B$4="M",HW4="EXC"),"M",IF(AND($B$4="F",HW4="WA"),"F",IF(AND($B$4="F",HW4="EXC"),"F","-"))))</f>
        <v>-</v>
      </c>
      <c r="HY4" s="56" t="str">
        <f t="shared" ref="HY4:HY31" si="67">IF(HW4="WB",1,If(HW4="WT",2,If(HW4="WA",3,If(HW4="Exc",4,""))))</f>
        <v/>
      </c>
      <c r="HZ4" s="54" t="str">
        <f t="shared" ref="HZ4:HZ31" si="68">if(HQ4="","",if(HT4="","", if(HW4="","",SUM(HY4+HV4+HS4))))</f>
        <v/>
      </c>
      <c r="IA4" s="57"/>
      <c r="IB4" s="55" t="str">
        <f>IF(AND($B$4="M",IA4="WA"),"M",IF(AND($B$4="M",IA4="EXC"),"M",IF(AND($B$4="F",IA4="WA"),"F",IF(AND($B$4="F",IA4="EXC"),"F","-"))))</f>
        <v>-</v>
      </c>
      <c r="IC4" s="17"/>
    </row>
    <row r="5">
      <c r="A5" s="40"/>
      <c r="B5" s="41"/>
      <c r="C5" s="58"/>
      <c r="D5" s="59" t="str">
        <f>IF(AND($B$5="M",C5="WA"),"M",IF(AND($B$5="M",C5="EXC"),"M",IF(AND($B$5="F",C5="WA"),"F",IF(AND($B$5="F",C5="EXC"),"F","-"))))</f>
        <v>-</v>
      </c>
      <c r="E5" s="60" t="str">
        <f t="shared" si="1"/>
        <v/>
      </c>
      <c r="F5" s="58"/>
      <c r="G5" s="59" t="str">
        <f>IF(AND($B$5="M",F5="WA"),"M",IF(AND($B$5="M",F5="EXC"),"M",IF(AND($B$5="F",F5="WA"),"F",IF(AND($B$5="F",F5="EXC"),"F","-"))))</f>
        <v>-</v>
      </c>
      <c r="H5" s="60" t="str">
        <f t="shared" si="2"/>
        <v/>
      </c>
      <c r="I5" s="58"/>
      <c r="J5" s="59" t="str">
        <f>IF(AND($B$5="M",I5="WA"),"M",IF(AND($B$5="M",I5="EXC"),"M",IF(AND($B$5="F",I5="WA"),"F",IF(AND($B$5="F",I5="EXC"),"F","-"))))</f>
        <v>-</v>
      </c>
      <c r="K5" s="60" t="str">
        <f t="shared" si="3"/>
        <v/>
      </c>
      <c r="L5" s="58"/>
      <c r="M5" s="59" t="str">
        <f>IF(AND($B$5="M",L5="WA"),"M",IF(AND($B$5="M",L5="EXC"),"M",IF(AND($B$5="F",L5="WA"),"F",IF(AND($B$5="F",L5="EXC"),"F","-"))))</f>
        <v>-</v>
      </c>
      <c r="N5" s="60" t="str">
        <f t="shared" si="4"/>
        <v/>
      </c>
      <c r="O5" s="58"/>
      <c r="P5" s="59" t="str">
        <f>IF(AND($B$5="M",O5="WA"),"M",IF(AND($B$5="M",O5="EXC"),"M",IF(AND($B$5="F",O5="WA"),"F",IF(AND($B$5="F",O5="EXC"),"F","-"))))</f>
        <v>-</v>
      </c>
      <c r="Q5" s="60" t="str">
        <f t="shared" si="5"/>
        <v/>
      </c>
      <c r="R5" s="58"/>
      <c r="S5" s="59" t="str">
        <f>IF(AND($B$5="M",R5="WA"),"M",IF(AND($B$5="M",R5="EXC"),"M",IF(AND($B$5="F",R5="WA"),"F",IF(AND($B$5="F",R5="EXC"),"F","-"))))</f>
        <v>-</v>
      </c>
      <c r="T5" s="60" t="str">
        <f t="shared" si="6"/>
        <v/>
      </c>
      <c r="U5" s="61" t="str">
        <f t="shared" si="7"/>
        <v/>
      </c>
      <c r="V5" s="62"/>
      <c r="W5" s="47" t="str">
        <f>IF(AND($B$5="M",V5="WA"),"M",IF(AND($B$5="M",V5="EXC"),"M",IF(AND($B$5="F",V5="WA"),"F",IF(AND($B$5="F",V5="EXC"),"F","-"))))</f>
        <v>-</v>
      </c>
      <c r="X5" s="48"/>
      <c r="Y5" s="49"/>
      <c r="Z5" s="48"/>
      <c r="AA5" s="63"/>
      <c r="AB5" s="59" t="str">
        <f>IF(AND($B$5="M",AA5="WA"),"M",IF(AND($B$5="M",AA5="EXC"),"M",IF(AND($B$5="F",AA5="WA"),"F",IF(AND($B$5="F",AA5="EXC"),"F","-"))))</f>
        <v>-</v>
      </c>
      <c r="AC5" s="64" t="str">
        <f t="shared" si="8"/>
        <v/>
      </c>
      <c r="AD5" s="58"/>
      <c r="AE5" s="59" t="str">
        <f>IF(AND($B$5="M",AD5="WA"),"M",IF(AND($B$5="M",AD5="EXC"),"M",IF(AND($B$5="F",AD5="WA"),"F",IF(AND($B$5="F",AD5="EXC"),"F","-"))))</f>
        <v>-</v>
      </c>
      <c r="AF5" s="64" t="str">
        <f t="shared" si="9"/>
        <v/>
      </c>
      <c r="AG5" s="58"/>
      <c r="AH5" s="59" t="str">
        <f>IF(AND($B$5="M",AG5="WA"),"M",IF(AND($B$5="M",AG5="EXC"),"M",IF(AND($B$5="F",AG5="WA"),"F",IF(AND($B$5="F",AG5="EXC"),"F","-"))))</f>
        <v>-</v>
      </c>
      <c r="AI5" s="64" t="str">
        <f t="shared" si="10"/>
        <v/>
      </c>
      <c r="AJ5" s="58"/>
      <c r="AK5" s="59" t="str">
        <f>IF(AND($B$5="M",AJ5="WA"),"M",IF(AND($B$5="M",AJ5="EXC"),"M",IF(AND($B$5="F",AJ5="WA"),"F",IF(AND($B$5="F",AJ5="EXC"),"F","-"))))</f>
        <v>-</v>
      </c>
      <c r="AL5" s="64" t="str">
        <f t="shared" si="11"/>
        <v/>
      </c>
      <c r="AM5" s="58"/>
      <c r="AN5" s="59" t="str">
        <f>IF(AND($B$5="M",AM5="WA"),"M",IF(AND($B$5="M",AM5="EXC"),"M",IF(AND($B$5="F",AM5="WA"),"F",IF(AND($B$5="F",AM5="EXC"),"F","-"))))</f>
        <v>-</v>
      </c>
      <c r="AO5" s="61" t="str">
        <f t="shared" si="12"/>
        <v/>
      </c>
      <c r="AP5" s="58"/>
      <c r="AQ5" s="59" t="str">
        <f>IF(AND($B$5="M",AP5="WA"),"M",IF(AND($B$5="M",AP5="EXC"),"M",IF(AND($B$5="F",AP5="WA"),"F",IF(AND($B$5="F",AP5="EXC"),"F","-"))))</f>
        <v>-</v>
      </c>
      <c r="AR5" s="61" t="str">
        <f t="shared" si="13"/>
        <v/>
      </c>
      <c r="AS5" s="61" t="str">
        <f t="shared" si="14"/>
        <v/>
      </c>
      <c r="AT5" s="65"/>
      <c r="AU5" s="47" t="str">
        <f>IF(AND($B$5="M",AT5="WA"),"M",IF(AND($B$5="M",AT5="EXC"),"M",IF(AND($B$5="F",AT5="WA"),"F",IF(AND($B$5="F",AT5="EXC"),"F","-"))))</f>
        <v>-</v>
      </c>
      <c r="AV5" s="52"/>
      <c r="AW5" s="66"/>
      <c r="AX5" s="48"/>
      <c r="AY5" s="63"/>
      <c r="AZ5" s="59" t="str">
        <f>IF(AND($B$5="M",AY5="WA"),"M",IF(AND($B$5="M",AY5="EXC"),"M",IF(AND($B$5="F",AY5="WA"),"F",IF(AND($B$5="F",AY5="EXC"),"F","-"))))</f>
        <v>-</v>
      </c>
      <c r="BA5" s="64" t="str">
        <f t="shared" si="15"/>
        <v/>
      </c>
      <c r="BB5" s="58"/>
      <c r="BC5" s="59" t="str">
        <f>IF(AND($B$5="M",BB5="WA"),"M",IF(AND($B$5="M",BB5="EXC"),"M",IF(AND($B$5="F",BB5="WA"),"F",IF(AND($B$5="F",BB5="EXC"),"F","-"))))</f>
        <v>-</v>
      </c>
      <c r="BD5" s="64" t="str">
        <f t="shared" si="16"/>
        <v/>
      </c>
      <c r="BE5" s="58"/>
      <c r="BF5" s="59" t="str">
        <f>IF(AND($B$5="M",BE5="WA"),"M",IF(AND($B$5="M",BE5="EXC"),"M",IF(AND($B$5="F",BE5="WA"),"F",IF(AND($B$5="F",BE5="EXC"),"F","-"))))</f>
        <v>-</v>
      </c>
      <c r="BG5" s="64" t="str">
        <f t="shared" si="17"/>
        <v/>
      </c>
      <c r="BH5" s="58"/>
      <c r="BI5" s="59" t="str">
        <f>IF(AND($B$5="M",BH5="WA"),"M",IF(AND($B$5="M",BH5="EXC"),"M",IF(AND($B$5="F",BH5="WA"),"F",IF(AND($B$5="F",BH5="EXC"),"F","-"))))</f>
        <v>-</v>
      </c>
      <c r="BJ5" s="64" t="str">
        <f t="shared" si="18"/>
        <v/>
      </c>
      <c r="BK5" s="58"/>
      <c r="BL5" s="59" t="str">
        <f>IF(AND($B$5="M",BK5="WA"),"M",IF(AND($B$5="M",BK5="EXC"),"M",IF(AND($B$5="F",BK5="WA"),"F",IF(AND($B$5="F",BK5="EXC"),"F","-"))))</f>
        <v>-</v>
      </c>
      <c r="BM5" s="61" t="str">
        <f t="shared" si="19"/>
        <v/>
      </c>
      <c r="BN5" s="58"/>
      <c r="BO5" s="59" t="str">
        <f>IF(AND($B$5="M",BN5="WA"),"M",IF(AND($B$5="M",BN5="EXC"),"M",IF(AND($B$5="F",BN5="WA"),"F",IF(AND($B$5="F",BN5="EXC"),"F","-"))))</f>
        <v>-</v>
      </c>
      <c r="BP5" s="61" t="str">
        <f t="shared" si="20"/>
        <v/>
      </c>
      <c r="BQ5" s="61" t="str">
        <f t="shared" si="21"/>
        <v/>
      </c>
      <c r="BR5" s="65"/>
      <c r="BS5" s="47" t="str">
        <f>IF(AND($B$5="M",BR5="WA"),"M",IF(AND($B$5="M",BR5="EXC"),"M",IF(AND($B$5="F",BR5="WA"),"F",IF(AND($B$5="F",BR5="EXC"),"F","-"))))</f>
        <v>-</v>
      </c>
      <c r="BT5" s="52"/>
      <c r="BU5" s="66"/>
      <c r="BV5" s="48"/>
      <c r="BW5" s="63"/>
      <c r="BX5" s="59" t="str">
        <f>IF(AND($B$5="M",BW5="WA"),"M",IF(AND($B$5="M",BW5="EXC"),"M",IF(AND($B$5="F",BW5="WA"),"F",IF(AND($B$5="F",BW5="EXC"),"F","-"))))</f>
        <v>-</v>
      </c>
      <c r="BY5" s="64" t="str">
        <f t="shared" si="22"/>
        <v/>
      </c>
      <c r="BZ5" s="58"/>
      <c r="CA5" s="59" t="str">
        <f>IF(AND($B$5="M",BZ5="WA"),"M",IF(AND($B$5="M",BZ5="EXC"),"M",IF(AND($B$5="F",BZ5="WA"),"F",IF(AND($B$5="F",BZ5="EXC"),"F","-"))))</f>
        <v>-</v>
      </c>
      <c r="CB5" s="64" t="str">
        <f t="shared" si="23"/>
        <v/>
      </c>
      <c r="CC5" s="58"/>
      <c r="CD5" s="59" t="str">
        <f>IF(AND($B$5="M",CC5="WA"),"M",IF(AND($B$5="M",CC5="EXC"),"M",IF(AND($B$5="F",CC5="WA"),"F",IF(AND($B$5="F",CC5="EXC"),"F","-"))))</f>
        <v>-</v>
      </c>
      <c r="CE5" s="64" t="str">
        <f t="shared" si="24"/>
        <v/>
      </c>
      <c r="CF5" s="58"/>
      <c r="CG5" s="59" t="str">
        <f>IF(AND($B$5="M",CF5="WA"),"M",IF(AND($B$5="M",CF5="EXC"),"M",IF(AND($B$5="F",CF5="WA"),"F",IF(AND($B$5="F",CF5="EXC"),"F","-"))))</f>
        <v>-</v>
      </c>
      <c r="CH5" s="64" t="str">
        <f t="shared" si="25"/>
        <v/>
      </c>
      <c r="CI5" s="58"/>
      <c r="CJ5" s="59" t="str">
        <f>IF(AND($B$5="M",CI5="WA"),"M",IF(AND($B$5="M",CI5="EXC"),"M",IF(AND($B$5="F",CI5="WA"),"F",IF(AND($B$5="F",CI5="EXC"),"F","-"))))</f>
        <v>-</v>
      </c>
      <c r="CK5" s="61" t="str">
        <f t="shared" si="26"/>
        <v/>
      </c>
      <c r="CL5" s="58"/>
      <c r="CM5" s="59" t="str">
        <f>IF(AND($B$5="M",CL5="WA"),"M",IF(AND($B$5="M",CL5="EXC"),"M",IF(AND($B$5="F",CL5="WA"),"F",IF(AND($B$5="F",CL5="EXC"),"F","-"))))</f>
        <v>-</v>
      </c>
      <c r="CN5" s="61" t="str">
        <f t="shared" si="27"/>
        <v/>
      </c>
      <c r="CO5" s="61" t="str">
        <f t="shared" si="28"/>
        <v/>
      </c>
      <c r="CP5" s="65"/>
      <c r="CQ5" s="47" t="str">
        <f>IF(AND($B$5="M",CP5="WA"),"M",IF(AND($B$5="M",CP5="EXC"),"M",IF(AND($B$5="F",CP5="WA"),"F",IF(AND($B$5="F",CP5="EXC"),"F","-"))))</f>
        <v>-</v>
      </c>
      <c r="CR5" s="52"/>
      <c r="CS5" s="66"/>
      <c r="CT5" s="48"/>
      <c r="CU5" s="63"/>
      <c r="CV5" s="59" t="str">
        <f>IF(AND($B$5="M",CU5="WA"),"M",IF(AND($B$5="M",CU5="EXC"),"M",IF(AND($B$5="F",CU5="WA"),"F",IF(AND($B$5="F",CU5="EXC"),"F","-"))))</f>
        <v>-</v>
      </c>
      <c r="CW5" s="64" t="str">
        <f t="shared" si="29"/>
        <v/>
      </c>
      <c r="CX5" s="58"/>
      <c r="CY5" s="59" t="str">
        <f>IF(AND($B$5="M",CX5="WA"),"M",IF(AND($B$5="M",CX5="EXC"),"M",IF(AND($B$5="F",CX5="WA"),"F",IF(AND($B$5="F",CX5="EXC"),"F","-"))))</f>
        <v>-</v>
      </c>
      <c r="CZ5" s="64" t="str">
        <f t="shared" si="30"/>
        <v/>
      </c>
      <c r="DA5" s="58"/>
      <c r="DB5" s="59" t="str">
        <f>IF(AND($B$5="M",DA5="WA"),"M",IF(AND($B$5="M",DA5="EXC"),"M",IF(AND($B$5="F",DA5="WA"),"F",IF(AND($B$5="F",DA5="EXC"),"F","-"))))</f>
        <v>-</v>
      </c>
      <c r="DC5" s="64" t="str">
        <f t="shared" si="31"/>
        <v/>
      </c>
      <c r="DD5" s="58"/>
      <c r="DE5" s="59" t="str">
        <f>IF(AND($B$5="M",DD5="WA"),"M",IF(AND($B$5="M",DD5="EXC"),"M",IF(AND($B$5="F",DD5="WA"),"F",IF(AND($B$5="F",DD5="EXC"),"F","-"))))</f>
        <v>-</v>
      </c>
      <c r="DF5" s="64" t="str">
        <f t="shared" si="32"/>
        <v/>
      </c>
      <c r="DG5" s="58"/>
      <c r="DH5" s="59" t="str">
        <f>IF(AND($B$5="M",DG5="WA"),"M",IF(AND($B$5="M",DG5="EXC"),"M",IF(AND($B$5="F",DG5="WA"),"F",IF(AND($B$5="F",DG5="EXC"),"F","-"))))</f>
        <v>-</v>
      </c>
      <c r="DI5" s="61" t="str">
        <f t="shared" si="33"/>
        <v/>
      </c>
      <c r="DJ5" s="58"/>
      <c r="DK5" s="59" t="str">
        <f>IF(AND($B$5="M",DJ5="WA"),"M",IF(AND($B$5="M",DJ5="EXC"),"M",IF(AND($B$5="F",DJ5="WA"),"F",IF(AND($B$5="F",DJ5="EXC"),"F","-"))))</f>
        <v>-</v>
      </c>
      <c r="DL5" s="61" t="str">
        <f t="shared" si="34"/>
        <v/>
      </c>
      <c r="DM5" s="61" t="str">
        <f t="shared" si="35"/>
        <v/>
      </c>
      <c r="DN5" s="65"/>
      <c r="DO5" s="47" t="str">
        <f>IF(AND($B$5="M",DN5="WA"),"M",IF(AND($B$5="M",DN5="EXC"),"M",IF(AND($B$5="F",DN5="WA"),"F",IF(AND($B$5="F",DN5="EXC"),"F","-"))))</f>
        <v>-</v>
      </c>
      <c r="DP5" s="52"/>
      <c r="DQ5" s="66"/>
      <c r="DR5" s="48"/>
      <c r="DS5" s="63"/>
      <c r="DT5" s="59" t="str">
        <f>IF(AND($B$5="M",DS5="WA"),"M",IF(AND($B$5="M",DS5="EXC"),"M",IF(AND($B$5="F",DS5="WA"),"F",IF(AND($B$5="F",DS5="EXC"),"F","-"))))</f>
        <v>-</v>
      </c>
      <c r="DU5" s="64" t="str">
        <f t="shared" si="36"/>
        <v/>
      </c>
      <c r="DV5" s="58"/>
      <c r="DW5" s="59" t="str">
        <f>IF(AND($B$5="M",DV5="WA"),"M",IF(AND($B$5="M",DV5="EXC"),"M",IF(AND($B$5="F",DV5="WA"),"F",IF(AND($B$5="F",DV5="EXC"),"F","-"))))</f>
        <v>-</v>
      </c>
      <c r="DX5" s="64" t="str">
        <f t="shared" si="37"/>
        <v/>
      </c>
      <c r="DY5" s="58"/>
      <c r="DZ5" s="59" t="str">
        <f>IF(AND($B$5="M",DY5="WA"),"M",IF(AND($B$5="M",DY5="EXC"),"M",IF(AND($B$5="F",DY5="WA"),"F",IF(AND($B$5="F",DY5="EXC"),"F","-"))))</f>
        <v>-</v>
      </c>
      <c r="EA5" s="64" t="str">
        <f t="shared" si="38"/>
        <v/>
      </c>
      <c r="EB5" s="58"/>
      <c r="EC5" s="59" t="str">
        <f>IF(AND($B$5="M",EB5="WA"),"M",IF(AND($B$5="M",EB5="EXC"),"M",IF(AND($B$5="F",EB5="WA"),"F",IF(AND($B$5="F",EB5="EXC"),"F","-"))))</f>
        <v>-</v>
      </c>
      <c r="ED5" s="64" t="str">
        <f t="shared" si="39"/>
        <v/>
      </c>
      <c r="EE5" s="58"/>
      <c r="EF5" s="59" t="str">
        <f>IF(AND($B$5="M",EE5="WA"),"M",IF(AND($B$5="M",EE5="EXC"),"M",IF(AND($B$5="F",EE5="WA"),"F",IF(AND($B$5="F",EE5="EXC"),"F","-"))))</f>
        <v>-</v>
      </c>
      <c r="EG5" s="61" t="str">
        <f t="shared" si="40"/>
        <v/>
      </c>
      <c r="EH5" s="58"/>
      <c r="EI5" s="59" t="str">
        <f>IF(AND($B$5="M",EH5="WA"),"M",IF(AND($B$5="M",EH5="EXC"),"M",IF(AND($B$5="F",EH5="WA"),"F",IF(AND($B$5="F",EH5="EXC"),"F","-"))))</f>
        <v>-</v>
      </c>
      <c r="EJ5" s="61" t="str">
        <f t="shared" si="41"/>
        <v/>
      </c>
      <c r="EK5" s="61" t="str">
        <f t="shared" si="42"/>
        <v/>
      </c>
      <c r="EL5" s="65"/>
      <c r="EM5" s="47" t="str">
        <f>IF(AND($B$5="M",EL5="WA"),"M",IF(AND($B$5="M",EL5="EXC"),"M",IF(AND($B$5="F",EL5="WA"),"F",IF(AND($B$5="F",EL5="EXC"),"F","-"))))</f>
        <v>-</v>
      </c>
      <c r="EN5" s="52"/>
      <c r="EO5" s="66"/>
      <c r="EP5" s="48"/>
      <c r="EQ5" s="63"/>
      <c r="ER5" s="59" t="str">
        <f>IF(AND($B$5="M",EQ5="WA"),"M",IF(AND($B$5="M",EQ5="EXC"),"M",IF(AND($B$5="F",EQ5="WA"),"F",IF(AND($B$5="F",EQ5="EXC"),"F","-"))))</f>
        <v>-</v>
      </c>
      <c r="ES5" s="64" t="str">
        <f t="shared" si="43"/>
        <v/>
      </c>
      <c r="ET5" s="58"/>
      <c r="EU5" s="59" t="str">
        <f>IF(AND($B$5="M",ET5="WA"),"M",IF(AND($B$5="M",ET5="EXC"),"M",IF(AND($B$5="F",ET5="WA"),"F",IF(AND($B$5="F",ET5="EXC"),"F","-"))))</f>
        <v>-</v>
      </c>
      <c r="EV5" s="64" t="str">
        <f t="shared" si="44"/>
        <v/>
      </c>
      <c r="EW5" s="58"/>
      <c r="EX5" s="59" t="str">
        <f>IF(AND($B$5="M",EW5="WA"),"M",IF(AND($B$5="M",EW5="EXC"),"M",IF(AND($B$5="F",EW5="WA"),"F",IF(AND($B$5="F",EW5="EXC"),"F","-"))))</f>
        <v>-</v>
      </c>
      <c r="EY5" s="64" t="str">
        <f t="shared" si="45"/>
        <v/>
      </c>
      <c r="EZ5" s="58"/>
      <c r="FA5" s="59" t="str">
        <f>IF(AND($B$5="M",EZ5="WA"),"M",IF(AND($B$5="M",EZ5="EXC"),"M",IF(AND($B$5="F",EZ5="WA"),"F",IF(AND($B$5="F",EZ5="EXC"),"F","-"))))</f>
        <v>-</v>
      </c>
      <c r="FB5" s="64" t="str">
        <f t="shared" si="46"/>
        <v/>
      </c>
      <c r="FC5" s="58"/>
      <c r="FD5" s="59" t="str">
        <f>IF(AND($B$5="M",FC5="WA"),"M",IF(AND($B$5="M",FC5="EXC"),"M",IF(AND($B$5="F",FC5="WA"),"F",IF(AND($B$5="F",FC5="EXC"),"F","-"))))</f>
        <v>-</v>
      </c>
      <c r="FE5" s="61" t="str">
        <f t="shared" si="47"/>
        <v/>
      </c>
      <c r="FF5" s="58"/>
      <c r="FG5" s="59" t="str">
        <f>IF(AND($B$5="M",FF5="WA"),"M",IF(AND($B$5="M",FF5="EXC"),"M",IF(AND($B$5="F",FF5="WA"),"F",IF(AND($B$5="F",FF5="EXC"),"F","-"))))</f>
        <v>-</v>
      </c>
      <c r="FH5" s="61" t="str">
        <f t="shared" si="48"/>
        <v/>
      </c>
      <c r="FI5" s="61" t="str">
        <f t="shared" si="49"/>
        <v/>
      </c>
      <c r="FJ5" s="65"/>
      <c r="FK5" s="47" t="str">
        <f>IF(AND($B$5="M",FJ5="WA"),"M",IF(AND($B$5="M",FJ5="EXC"),"M",IF(AND($B$5="F",FJ5="WA"),"F",IF(AND($B$5="F",FJ5="EXC"),"F","-"))))</f>
        <v>-</v>
      </c>
      <c r="FL5" s="52"/>
      <c r="FM5" s="66"/>
      <c r="FN5" s="48"/>
      <c r="FO5" s="63"/>
      <c r="FP5" s="59" t="str">
        <f>IF(AND($B$5="M",FO5="WA"),"M",IF(AND($B$5="M",FO5="EXC"),"M",IF(AND($B$5="F",FO5="WA"),"F",IF(AND($B$5="F",FO5="EXC"),"F","-"))))</f>
        <v>-</v>
      </c>
      <c r="FQ5" s="64" t="str">
        <f t="shared" si="50"/>
        <v/>
      </c>
      <c r="FR5" s="58"/>
      <c r="FS5" s="59" t="str">
        <f>IF(AND($B$5="M",FR5="WA"),"M",IF(AND($B$5="M",FR5="EXC"),"M",IF(AND($B$5="F",FR5="WA"),"F",IF(AND($B$5="F",FR5="EXC"),"F","-"))))</f>
        <v>-</v>
      </c>
      <c r="FT5" s="64" t="str">
        <f t="shared" si="51"/>
        <v/>
      </c>
      <c r="FU5" s="58"/>
      <c r="FV5" s="59" t="str">
        <f>IF(AND($B$5="M",FU5="WA"),"M",IF(AND($B$5="M",FU5="EXC"),"M",IF(AND($B$5="F",FU5="WA"),"F",IF(AND($B$5="F",FU5="EXC"),"F","-"))))</f>
        <v>-</v>
      </c>
      <c r="FW5" s="64" t="str">
        <f t="shared" si="52"/>
        <v/>
      </c>
      <c r="FX5" s="58"/>
      <c r="FY5" s="59" t="str">
        <f>IF(AND($B$5="M",FX5="WA"),"M",IF(AND($B$5="M",FX5="EXC"),"M",IF(AND($B$5="F",FX5="WA"),"F",IF(AND($B$5="F",FX5="EXC"),"F","-"))))</f>
        <v>-</v>
      </c>
      <c r="FZ5" s="64" t="str">
        <f t="shared" si="53"/>
        <v/>
      </c>
      <c r="GA5" s="58"/>
      <c r="GB5" s="59" t="str">
        <f>IF(AND($B$5="M",GA5="WA"),"M",IF(AND($B$5="M",GA5="EXC"),"M",IF(AND($B$5="F",GA5="WA"),"F",IF(AND($B$5="F",GA5="EXC"),"F","-"))))</f>
        <v>-</v>
      </c>
      <c r="GC5" s="61" t="str">
        <f t="shared" si="54"/>
        <v/>
      </c>
      <c r="GD5" s="58"/>
      <c r="GE5" s="59" t="str">
        <f>IF(AND($B$5="M",GD5="WA"),"M",IF(AND($B$5="M",GD5="EXC"),"M",IF(AND($B$5="F",GD5="WA"),"F",IF(AND($B$5="F",GD5="EXC"),"F","-"))))</f>
        <v>-</v>
      </c>
      <c r="GF5" s="61" t="str">
        <f t="shared" si="55"/>
        <v/>
      </c>
      <c r="GG5" s="61" t="str">
        <f t="shared" si="56"/>
        <v/>
      </c>
      <c r="GH5" s="65"/>
      <c r="GI5" s="47" t="str">
        <f>IF(AND($B$5="M",GH5="WA"),"M",IF(AND($B$5="M",GH5="EXC"),"M",IF(AND($B$5="F",GH5="WA"),"F",IF(AND($B$5="F",GH5="EXC"),"F","-"))))</f>
        <v>-</v>
      </c>
      <c r="GJ5" s="52"/>
      <c r="GK5" s="66"/>
      <c r="GL5" s="48"/>
      <c r="GM5" s="63"/>
      <c r="GN5" s="59" t="str">
        <f>IF(AND($B$5="M",GM5="WA"),"M",IF(AND($B$5="M",GM5="EXC"),"M",IF(AND($B$5="F",GM5="WA"),"F",IF(AND($B$5="F",GM5="EXC"),"F","-"))))</f>
        <v>-</v>
      </c>
      <c r="GO5" s="64" t="str">
        <f t="shared" si="57"/>
        <v/>
      </c>
      <c r="GP5" s="58"/>
      <c r="GQ5" s="59" t="str">
        <f>IF(AND($B$5="M",GP5="WA"),"M",IF(AND($B$5="M",GP5="EXC"),"M",IF(AND($B$5="F",GP5="WA"),"F",IF(AND($B$5="F",GP5="EXC"),"F","-"))))</f>
        <v>-</v>
      </c>
      <c r="GR5" s="64" t="str">
        <f t="shared" si="58"/>
        <v/>
      </c>
      <c r="GS5" s="58"/>
      <c r="GT5" s="59" t="str">
        <f>IF(AND($B$5="M",GS5="WA"),"M",IF(AND($B$5="M",GS5="EXC"),"M",IF(AND($B$5="F",GS5="WA"),"F",IF(AND($B$5="F",GS5="EXC"),"F","-"))))</f>
        <v>-</v>
      </c>
      <c r="GU5" s="64" t="str">
        <f t="shared" si="59"/>
        <v/>
      </c>
      <c r="GV5" s="61" t="str">
        <f t="shared" si="60"/>
        <v/>
      </c>
      <c r="GW5" s="65"/>
      <c r="GX5" s="47" t="str">
        <f>IF(AND($B$5="M",GW5="WA"),"M",IF(AND($B$5="M",GW5="EXC"),"M",IF(AND($B$5="F",GW5="WA"),"F",IF(AND($B$5="F",GW5="EXC"),"F","-"))))</f>
        <v>-</v>
      </c>
      <c r="GY5" s="52"/>
      <c r="GZ5" s="66"/>
      <c r="HA5" s="48"/>
      <c r="HB5" s="63"/>
      <c r="HC5" s="59" t="str">
        <f>IF(AND($B$5="M",HB5="WA"),"M",IF(AND($B$5="M",HB5="EXC"),"M",IF(AND($B$5="F",HB5="WA"),"F",IF(AND($B$5="F",HB5="EXC"),"F","-"))))</f>
        <v>-</v>
      </c>
      <c r="HD5" s="64" t="str">
        <f t="shared" si="61"/>
        <v/>
      </c>
      <c r="HE5" s="58"/>
      <c r="HF5" s="59" t="str">
        <f>IF(AND($B$5="M",HE5="WA"),"M",IF(AND($B$5="M",HE5="EXC"),"M",IF(AND($B$5="F",HE5="WA"),"F",IF(AND($B$5="F",HE5="EXC"),"F","-"))))</f>
        <v>-</v>
      </c>
      <c r="HG5" s="64" t="str">
        <f t="shared" si="62"/>
        <v/>
      </c>
      <c r="HH5" s="58"/>
      <c r="HI5" s="59" t="str">
        <f>IF(AND($B$5="M",HH5="WA"),"M",IF(AND($B$5="M",HH5="EXC"),"M",IF(AND($B$5="F",HH5="WA"),"F",IF(AND($B$5="F",HH5="EXC"),"F","-"))))</f>
        <v>-</v>
      </c>
      <c r="HJ5" s="64" t="str">
        <f t="shared" si="63"/>
        <v/>
      </c>
      <c r="HK5" s="61" t="str">
        <f t="shared" si="64"/>
        <v/>
      </c>
      <c r="HL5" s="65"/>
      <c r="HM5" s="47" t="str">
        <f>IF(AND($B$5="M",HL5="WA"),"M",IF(AND($B$5="M",HL5="EXC"),"M",IF(AND($B$5="F",HL5="WA"),"F",IF(AND($B$5="F",HL5="EXC"),"F","-"))))</f>
        <v>-</v>
      </c>
      <c r="HN5" s="13"/>
      <c r="HO5" s="14"/>
      <c r="HP5" s="15"/>
      <c r="HQ5" s="54"/>
      <c r="HR5" s="55" t="str">
        <f>IF(AND($B$5="M",HQ5="WA"),"M",IF(AND($B$5="M",HQ5="EXC"),"M",IF(AND($B$5="F",HQ5="WA"),"F",IF(AND($B$5="F",HQ5="EXC"),"F","-"))))</f>
        <v>-</v>
      </c>
      <c r="HS5" s="56" t="str">
        <f t="shared" si="65"/>
        <v/>
      </c>
      <c r="HT5" s="54"/>
      <c r="HU5" s="55" t="str">
        <f>IF(AND($B$5="M",HT5="WA"),"M",IF(AND($B$5="M",HT5="EXC"),"M",IF(AND($B$5="F",HT5="WA"),"F",IF(AND($B$5="F",HT5="EXC"),"F","-"))))</f>
        <v>-</v>
      </c>
      <c r="HV5" s="56" t="str">
        <f t="shared" si="66"/>
        <v/>
      </c>
      <c r="HW5" s="54"/>
      <c r="HX5" s="55" t="str">
        <f>IF(AND($B$5="M",HW5="WA"),"M",IF(AND($B$5="M",HW5="EXC"),"M",IF(AND($B$5="F",HW5="WA"),"F",IF(AND($B$5="F",HW5="EXC"),"F","-"))))</f>
        <v>-</v>
      </c>
      <c r="HY5" s="56" t="str">
        <f t="shared" si="67"/>
        <v/>
      </c>
      <c r="HZ5" s="54" t="str">
        <f t="shared" si="68"/>
        <v/>
      </c>
      <c r="IA5" s="67"/>
      <c r="IB5" s="55" t="str">
        <f>IF(AND($B$5="M",IA5="WA"),"M",IF(AND($B$5="M",IA5="EXC"),"M",IF(AND($B$5="F",IA5="WA"),"F",IF(AND($B$5="F",IA5="EXC"),"F","-"))))</f>
        <v>-</v>
      </c>
      <c r="IC5" s="17"/>
    </row>
    <row r="6">
      <c r="A6" s="40"/>
      <c r="B6" s="41"/>
      <c r="C6" s="58"/>
      <c r="D6" s="59" t="str">
        <f>IF(AND($B$6="M",C6="WA"),"M",IF(AND($B$6="M",C6="EXC"),"M",IF(AND($B$6="F",C6="WA"),"F",IF(AND($B$6="F",C6="EXC"),"F","-"))))</f>
        <v>-</v>
      </c>
      <c r="E6" s="60" t="str">
        <f t="shared" si="1"/>
        <v/>
      </c>
      <c r="F6" s="58"/>
      <c r="G6" s="59" t="str">
        <f>IF(AND($B$6="M",F6="WA"),"M",IF(AND($B$6="M",F6="EXC"),"M",IF(AND($B$6="F",F6="WA"),"F",IF(AND($B$6="F",F6="EXC"),"F","-"))))</f>
        <v>-</v>
      </c>
      <c r="H6" s="60" t="str">
        <f t="shared" si="2"/>
        <v/>
      </c>
      <c r="I6" s="58"/>
      <c r="J6" s="59" t="str">
        <f>IF(AND($B$6="M",I6="WA"),"M",IF(AND($B$6="M",I6="EXC"),"M",IF(AND($B$6="F",I6="WA"),"F",IF(AND($B$6="F",I6="EXC"),"F","-"))))</f>
        <v>-</v>
      </c>
      <c r="K6" s="60" t="str">
        <f t="shared" si="3"/>
        <v/>
      </c>
      <c r="L6" s="58"/>
      <c r="M6" s="59" t="str">
        <f>IF(AND($B$6="M",L6="WA"),"M",IF(AND($B$6="M",L6="EXC"),"M",IF(AND($B$6="F",L6="WA"),"F",IF(AND($B$6="F",L6="EXC"),"F","-"))))</f>
        <v>-</v>
      </c>
      <c r="N6" s="60" t="str">
        <f t="shared" si="4"/>
        <v/>
      </c>
      <c r="O6" s="58"/>
      <c r="P6" s="59" t="str">
        <f>IF(AND($B$6="M",O6="WA"),"M",IF(AND($B$6="M",O6="EXC"),"M",IF(AND($B$6="F",O6="WA"),"F",IF(AND($B$6="F",O6="EXC"),"F","-"))))</f>
        <v>-</v>
      </c>
      <c r="Q6" s="60" t="str">
        <f t="shared" si="5"/>
        <v/>
      </c>
      <c r="R6" s="58"/>
      <c r="S6" s="59" t="str">
        <f>IF(AND($B$6="M",R6="WA"),"M",IF(AND($B$6="M",R6="EXC"),"M",IF(AND($B$6="F",R6="WA"),"F",IF(AND($B$6="F",R6="EXC"),"F","-"))))</f>
        <v>-</v>
      </c>
      <c r="T6" s="60" t="str">
        <f t="shared" si="6"/>
        <v/>
      </c>
      <c r="U6" s="61" t="str">
        <f t="shared" si="7"/>
        <v/>
      </c>
      <c r="V6" s="62"/>
      <c r="W6" s="47" t="str">
        <f>IF(AND($B$6="M",V6="WA"),"M",IF(AND($B$6="M",V6="EXC"),"M",IF(AND($B$6="F",V6="WA"),"F",IF(AND($B$6="F",V6="EXC"),"F","-"))))</f>
        <v>-</v>
      </c>
      <c r="X6" s="48"/>
      <c r="Y6" s="49"/>
      <c r="Z6" s="48"/>
      <c r="AA6" s="63"/>
      <c r="AB6" s="59" t="str">
        <f>IF(AND($B$6="M",AA6="WA"),"M",IF(AND($B$6="M",AA6="EXC"),"M",IF(AND($B$6="F",AA6="WA"),"F",IF(AND($B$6="F",AA6="EXC"),"F","-"))))</f>
        <v>-</v>
      </c>
      <c r="AC6" s="64" t="str">
        <f t="shared" si="8"/>
        <v/>
      </c>
      <c r="AD6" s="58"/>
      <c r="AE6" s="59" t="str">
        <f>IF(AND($B$6="M",AD6="WA"),"M",IF(AND($B$6="M",AD6="EXC"),"M",IF(AND($B$6="F",AD6="WA"),"F",IF(AND($B$6="F",AD6="EXC"),"F","-"))))</f>
        <v>-</v>
      </c>
      <c r="AF6" s="64" t="str">
        <f t="shared" si="9"/>
        <v/>
      </c>
      <c r="AG6" s="58"/>
      <c r="AH6" s="59" t="str">
        <f>IF(AND($B$6="M",AG6="WA"),"M",IF(AND($B$6="M",AG6="EXC"),"M",IF(AND($B$6="F",AG6="WA"),"F",IF(AND($B$6="F",AG6="EXC"),"F","-"))))</f>
        <v>-</v>
      </c>
      <c r="AI6" s="64" t="str">
        <f t="shared" si="10"/>
        <v/>
      </c>
      <c r="AJ6" s="58"/>
      <c r="AK6" s="59" t="str">
        <f>IF(AND($B$6="M",AJ6="WA"),"M",IF(AND($B$6="M",AJ6="EXC"),"M",IF(AND($B$6="F",AJ6="WA"),"F",IF(AND($B$6="F",AJ6="EXC"),"F","-"))))</f>
        <v>-</v>
      </c>
      <c r="AL6" s="64" t="str">
        <f t="shared" si="11"/>
        <v/>
      </c>
      <c r="AM6" s="58"/>
      <c r="AN6" s="59" t="str">
        <f>IF(AND($B$6="M",AM6="WA"),"M",IF(AND($B$6="M",AM6="EXC"),"M",IF(AND($B$6="F",AM6="WA"),"F",IF(AND($B$6="F",AM6="EXC"),"F","-"))))</f>
        <v>-</v>
      </c>
      <c r="AO6" s="61" t="str">
        <f t="shared" si="12"/>
        <v/>
      </c>
      <c r="AP6" s="58"/>
      <c r="AQ6" s="59" t="str">
        <f>IF(AND($B$6="M",AP6="WA"),"M",IF(AND($B$6="M",AP6="EXC"),"M",IF(AND($B$6="F",AP6="WA"),"F",IF(AND($B$6="F",AP6="EXC"),"F","-"))))</f>
        <v>-</v>
      </c>
      <c r="AR6" s="61" t="str">
        <f t="shared" si="13"/>
        <v/>
      </c>
      <c r="AS6" s="61" t="str">
        <f t="shared" si="14"/>
        <v/>
      </c>
      <c r="AT6" s="65"/>
      <c r="AU6" s="47" t="str">
        <f>IF(AND($B$6="M",AT6="WA"),"M",IF(AND($B$6="M",AT6="EXC"),"M",IF(AND($B$6="F",AT6="WA"),"F",IF(AND($B$6="F",AT6="EXC"),"F","-"))))</f>
        <v>-</v>
      </c>
      <c r="AV6" s="68"/>
      <c r="AW6" s="66"/>
      <c r="AX6" s="48"/>
      <c r="AY6" s="63"/>
      <c r="AZ6" s="59" t="str">
        <f>IF(AND($B$6="M",AY6="WA"),"M",IF(AND($B$6="M",AY6="EXC"),"M",IF(AND($B$6="F",AY6="WA"),"F",IF(AND($B$6="F",AY6="EXC"),"F","-"))))</f>
        <v>-</v>
      </c>
      <c r="BA6" s="64" t="str">
        <f t="shared" si="15"/>
        <v/>
      </c>
      <c r="BB6" s="58"/>
      <c r="BC6" s="59" t="str">
        <f>IF(AND($B$6="M",BB6="WA"),"M",IF(AND($B$6="M",BB6="EXC"),"M",IF(AND($B$6="F",BB6="WA"),"F",IF(AND($B$6="F",BB6="EXC"),"F","-"))))</f>
        <v>-</v>
      </c>
      <c r="BD6" s="64" t="str">
        <f t="shared" si="16"/>
        <v/>
      </c>
      <c r="BE6" s="58"/>
      <c r="BF6" s="59" t="str">
        <f>IF(AND($B$6="M",BE6="WA"),"M",IF(AND($B$6="M",BE6="EXC"),"M",IF(AND($B$6="F",BE6="WA"),"F",IF(AND($B$6="F",BE6="EXC"),"F","-"))))</f>
        <v>-</v>
      </c>
      <c r="BG6" s="64" t="str">
        <f t="shared" si="17"/>
        <v/>
      </c>
      <c r="BH6" s="58"/>
      <c r="BI6" s="59" t="str">
        <f>IF(AND($B$6="M",BH6="WA"),"M",IF(AND($B$6="M",BH6="EXC"),"M",IF(AND($B$6="F",BH6="WA"),"F",IF(AND($B$6="F",BH6="EXC"),"F","-"))))</f>
        <v>-</v>
      </c>
      <c r="BJ6" s="64" t="str">
        <f t="shared" si="18"/>
        <v/>
      </c>
      <c r="BK6" s="58"/>
      <c r="BL6" s="59" t="str">
        <f>IF(AND($B$6="M",BK6="WA"),"M",IF(AND($B$6="M",BK6="EXC"),"M",IF(AND($B$6="F",BK6="WA"),"F",IF(AND($B$6="F",BK6="EXC"),"F","-"))))</f>
        <v>-</v>
      </c>
      <c r="BM6" s="61" t="str">
        <f t="shared" si="19"/>
        <v/>
      </c>
      <c r="BN6" s="58"/>
      <c r="BO6" s="59" t="str">
        <f>IF(AND($B$6="M",BN6="WA"),"M",IF(AND($B$6="M",BN6="EXC"),"M",IF(AND($B$6="F",BN6="WA"),"F",IF(AND($B$6="F",BN6="EXC"),"F","-"))))</f>
        <v>-</v>
      </c>
      <c r="BP6" s="61" t="str">
        <f t="shared" si="20"/>
        <v/>
      </c>
      <c r="BQ6" s="61" t="str">
        <f t="shared" si="21"/>
        <v/>
      </c>
      <c r="BR6" s="65"/>
      <c r="BS6" s="47" t="str">
        <f>IF(AND($B$6="M",BR6="WA"),"M",IF(AND($B$6="M",BR6="EXC"),"M",IF(AND($B$6="F",BR6="WA"),"F",IF(AND($B$6="F",BR6="EXC"),"F","-"))))</f>
        <v>-</v>
      </c>
      <c r="BT6" s="68"/>
      <c r="BU6" s="66"/>
      <c r="BV6" s="48"/>
      <c r="BW6" s="63"/>
      <c r="BX6" s="59" t="str">
        <f>IF(AND($B$6="M",BW6="WA"),"M",IF(AND($B$6="M",BW6="EXC"),"M",IF(AND($B$6="F",BW6="WA"),"F",IF(AND($B$6="F",BW6="EXC"),"F","-"))))</f>
        <v>-</v>
      </c>
      <c r="BY6" s="64" t="str">
        <f t="shared" si="22"/>
        <v/>
      </c>
      <c r="BZ6" s="58"/>
      <c r="CA6" s="59" t="str">
        <f>IF(AND($B$6="M",BZ6="WA"),"M",IF(AND($B$6="M",BZ6="EXC"),"M",IF(AND($B$6="F",BZ6="WA"),"F",IF(AND($B$6="F",BZ6="EXC"),"F","-"))))</f>
        <v>-</v>
      </c>
      <c r="CB6" s="64" t="str">
        <f t="shared" si="23"/>
        <v/>
      </c>
      <c r="CC6" s="58"/>
      <c r="CD6" s="59" t="str">
        <f>IF(AND($B$6="M",CC6="WA"),"M",IF(AND($B$6="M",CC6="EXC"),"M",IF(AND($B$6="F",CC6="WA"),"F",IF(AND($B$6="F",CC6="EXC"),"F","-"))))</f>
        <v>-</v>
      </c>
      <c r="CE6" s="64" t="str">
        <f t="shared" si="24"/>
        <v/>
      </c>
      <c r="CF6" s="58"/>
      <c r="CG6" s="59" t="str">
        <f>IF(AND($B$6="M",CF6="WA"),"M",IF(AND($B$6="M",CF6="EXC"),"M",IF(AND($B$6="F",CF6="WA"),"F",IF(AND($B$6="F",CF6="EXC"),"F","-"))))</f>
        <v>-</v>
      </c>
      <c r="CH6" s="64" t="str">
        <f t="shared" si="25"/>
        <v/>
      </c>
      <c r="CI6" s="58"/>
      <c r="CJ6" s="59" t="str">
        <f>IF(AND($B$6="M",CI6="WA"),"M",IF(AND($B$6="M",CI6="EXC"),"M",IF(AND($B$6="F",CI6="WA"),"F",IF(AND($B$6="F",CI6="EXC"),"F","-"))))</f>
        <v>-</v>
      </c>
      <c r="CK6" s="61" t="str">
        <f t="shared" si="26"/>
        <v/>
      </c>
      <c r="CL6" s="58"/>
      <c r="CM6" s="59" t="str">
        <f>IF(AND($B$6="M",CL6="WA"),"M",IF(AND($B$6="M",CL6="EXC"),"M",IF(AND($B$6="F",CL6="WA"),"F",IF(AND($B$6="F",CL6="EXC"),"F","-"))))</f>
        <v>-</v>
      </c>
      <c r="CN6" s="61" t="str">
        <f t="shared" si="27"/>
        <v/>
      </c>
      <c r="CO6" s="61" t="str">
        <f t="shared" si="28"/>
        <v/>
      </c>
      <c r="CP6" s="65"/>
      <c r="CQ6" s="47" t="str">
        <f>IF(AND($B$6="M",CP6="WA"),"M",IF(AND($B$6="M",CP6="EXC"),"M",IF(AND($B$6="F",CP6="WA"),"F",IF(AND($B$6="F",CP6="EXC"),"F","-"))))</f>
        <v>-</v>
      </c>
      <c r="CR6" s="68"/>
      <c r="CS6" s="66"/>
      <c r="CT6" s="48"/>
      <c r="CU6" s="63"/>
      <c r="CV6" s="59" t="str">
        <f>IF(AND($B$6="M",CU6="WA"),"M",IF(AND($B$6="M",CU6="EXC"),"M",IF(AND($B$6="F",CU6="WA"),"F",IF(AND($B$6="F",CU6="EXC"),"F","-"))))</f>
        <v>-</v>
      </c>
      <c r="CW6" s="64" t="str">
        <f t="shared" si="29"/>
        <v/>
      </c>
      <c r="CX6" s="58"/>
      <c r="CY6" s="59" t="str">
        <f>IF(AND($B$6="M",CX6="WA"),"M",IF(AND($B$6="M",CX6="EXC"),"M",IF(AND($B$6="F",CX6="WA"),"F",IF(AND($B$6="F",CX6="EXC"),"F","-"))))</f>
        <v>-</v>
      </c>
      <c r="CZ6" s="64" t="str">
        <f t="shared" si="30"/>
        <v/>
      </c>
      <c r="DA6" s="58"/>
      <c r="DB6" s="59" t="str">
        <f>IF(AND($B$6="M",DA6="WA"),"M",IF(AND($B$6="M",DA6="EXC"),"M",IF(AND($B$6="F",DA6="WA"),"F",IF(AND($B$6="F",DA6="EXC"),"F","-"))))</f>
        <v>-</v>
      </c>
      <c r="DC6" s="64" t="str">
        <f t="shared" si="31"/>
        <v/>
      </c>
      <c r="DD6" s="58"/>
      <c r="DE6" s="59" t="str">
        <f>IF(AND($B$6="M",DD6="WA"),"M",IF(AND($B$6="M",DD6="EXC"),"M",IF(AND($B$6="F",DD6="WA"),"F",IF(AND($B$6="F",DD6="EXC"),"F","-"))))</f>
        <v>-</v>
      </c>
      <c r="DF6" s="64" t="str">
        <f t="shared" si="32"/>
        <v/>
      </c>
      <c r="DG6" s="58"/>
      <c r="DH6" s="59" t="str">
        <f>IF(AND($B$6="M",DG6="WA"),"M",IF(AND($B$6="M",DG6="EXC"),"M",IF(AND($B$6="F",DG6="WA"),"F",IF(AND($B$6="F",DG6="EXC"),"F","-"))))</f>
        <v>-</v>
      </c>
      <c r="DI6" s="61" t="str">
        <f t="shared" si="33"/>
        <v/>
      </c>
      <c r="DJ6" s="58"/>
      <c r="DK6" s="59" t="str">
        <f>IF(AND($B$6="M",DJ6="WA"),"M",IF(AND($B$6="M",DJ6="EXC"),"M",IF(AND($B$6="F",DJ6="WA"),"F",IF(AND($B$6="F",DJ6="EXC"),"F","-"))))</f>
        <v>-</v>
      </c>
      <c r="DL6" s="61" t="str">
        <f t="shared" si="34"/>
        <v/>
      </c>
      <c r="DM6" s="61" t="str">
        <f t="shared" si="35"/>
        <v/>
      </c>
      <c r="DN6" s="65"/>
      <c r="DO6" s="47" t="str">
        <f>IF(AND($B$6="M",DN6="WA"),"M",IF(AND($B$6="M",DN6="EXC"),"M",IF(AND($B$6="F",DN6="WA"),"F",IF(AND($B$6="F",DN6="EXC"),"F","-"))))</f>
        <v>-</v>
      </c>
      <c r="DP6" s="68"/>
      <c r="DQ6" s="66"/>
      <c r="DR6" s="48"/>
      <c r="DS6" s="63"/>
      <c r="DT6" s="59" t="str">
        <f>IF(AND($B$6="M",DS6="WA"),"M",IF(AND($B$6="M",DS6="EXC"),"M",IF(AND($B$6="F",DS6="WA"),"F",IF(AND($B$6="F",DS6="EXC"),"F","-"))))</f>
        <v>-</v>
      </c>
      <c r="DU6" s="64" t="str">
        <f t="shared" si="36"/>
        <v/>
      </c>
      <c r="DV6" s="58"/>
      <c r="DW6" s="59" t="str">
        <f>IF(AND($B$6="M",DV6="WA"),"M",IF(AND($B$6="M",DV6="EXC"),"M",IF(AND($B$6="F",DV6="WA"),"F",IF(AND($B$6="F",DV6="EXC"),"F","-"))))</f>
        <v>-</v>
      </c>
      <c r="DX6" s="64" t="str">
        <f t="shared" si="37"/>
        <v/>
      </c>
      <c r="DY6" s="58"/>
      <c r="DZ6" s="59" t="str">
        <f>IF(AND($B$6="M",DY6="WA"),"M",IF(AND($B$6="M",DY6="EXC"),"M",IF(AND($B$6="F",DY6="WA"),"F",IF(AND($B$6="F",DY6="EXC"),"F","-"))))</f>
        <v>-</v>
      </c>
      <c r="EA6" s="64" t="str">
        <f t="shared" si="38"/>
        <v/>
      </c>
      <c r="EB6" s="58"/>
      <c r="EC6" s="59" t="str">
        <f>IF(AND($B$6="M",EB6="WA"),"M",IF(AND($B$6="M",EB6="EXC"),"M",IF(AND($B$6="F",EB6="WA"),"F",IF(AND($B$6="F",EB6="EXC"),"F","-"))))</f>
        <v>-</v>
      </c>
      <c r="ED6" s="64" t="str">
        <f t="shared" si="39"/>
        <v/>
      </c>
      <c r="EE6" s="58"/>
      <c r="EF6" s="59" t="str">
        <f>IF(AND($B$6="M",EE6="WA"),"M",IF(AND($B$6="M",EE6="EXC"),"M",IF(AND($B$6="F",EE6="WA"),"F",IF(AND($B$6="F",EE6="EXC"),"F","-"))))</f>
        <v>-</v>
      </c>
      <c r="EG6" s="61" t="str">
        <f t="shared" si="40"/>
        <v/>
      </c>
      <c r="EH6" s="58"/>
      <c r="EI6" s="59" t="str">
        <f>IF(AND($B$6="M",EH6="WA"),"M",IF(AND($B$6="M",EH6="EXC"),"M",IF(AND($B$6="F",EH6="WA"),"F",IF(AND($B$6="F",EH6="EXC"),"F","-"))))</f>
        <v>-</v>
      </c>
      <c r="EJ6" s="61" t="str">
        <f t="shared" si="41"/>
        <v/>
      </c>
      <c r="EK6" s="61" t="str">
        <f t="shared" si="42"/>
        <v/>
      </c>
      <c r="EL6" s="65"/>
      <c r="EM6" s="47" t="str">
        <f>IF(AND($B$6="M",EL6="WA"),"M",IF(AND($B$6="M",EL6="EXC"),"M",IF(AND($B$6="F",EL6="WA"),"F",IF(AND($B$6="F",EL6="EXC"),"F","-"))))</f>
        <v>-</v>
      </c>
      <c r="EN6" s="68"/>
      <c r="EO6" s="66"/>
      <c r="EP6" s="48"/>
      <c r="EQ6" s="63"/>
      <c r="ER6" s="59" t="str">
        <f>IF(AND($B$6="M",EQ6="WA"),"M",IF(AND($B$6="M",EQ6="EXC"),"M",IF(AND($B$6="F",EQ6="WA"),"F",IF(AND($B$6="F",EQ6="EXC"),"F","-"))))</f>
        <v>-</v>
      </c>
      <c r="ES6" s="64" t="str">
        <f t="shared" si="43"/>
        <v/>
      </c>
      <c r="ET6" s="58"/>
      <c r="EU6" s="59" t="str">
        <f>IF(AND($B$6="M",ET6="WA"),"M",IF(AND($B$6="M",ET6="EXC"),"M",IF(AND($B$6="F",ET6="WA"),"F",IF(AND($B$6="F",ET6="EXC"),"F","-"))))</f>
        <v>-</v>
      </c>
      <c r="EV6" s="64" t="str">
        <f t="shared" si="44"/>
        <v/>
      </c>
      <c r="EW6" s="58"/>
      <c r="EX6" s="59" t="str">
        <f>IF(AND($B$6="M",EW6="WA"),"M",IF(AND($B$6="M",EW6="EXC"),"M",IF(AND($B$6="F",EW6="WA"),"F",IF(AND($B$6="F",EW6="EXC"),"F","-"))))</f>
        <v>-</v>
      </c>
      <c r="EY6" s="64" t="str">
        <f t="shared" si="45"/>
        <v/>
      </c>
      <c r="EZ6" s="58"/>
      <c r="FA6" s="59" t="str">
        <f>IF(AND($B$6="M",EZ6="WA"),"M",IF(AND($B$6="M",EZ6="EXC"),"M",IF(AND($B$6="F",EZ6="WA"),"F",IF(AND($B$6="F",EZ6="EXC"),"F","-"))))</f>
        <v>-</v>
      </c>
      <c r="FB6" s="64" t="str">
        <f t="shared" si="46"/>
        <v/>
      </c>
      <c r="FC6" s="58"/>
      <c r="FD6" s="59" t="str">
        <f>IF(AND($B$6="M",FC6="WA"),"M",IF(AND($B$6="M",FC6="EXC"),"M",IF(AND($B$6="F",FC6="WA"),"F",IF(AND($B$6="F",FC6="EXC"),"F","-"))))</f>
        <v>-</v>
      </c>
      <c r="FE6" s="61" t="str">
        <f t="shared" si="47"/>
        <v/>
      </c>
      <c r="FF6" s="58"/>
      <c r="FG6" s="59" t="str">
        <f>IF(AND($B$6="M",FF6="WA"),"M",IF(AND($B$6="M",FF6="EXC"),"M",IF(AND($B$6="F",FF6="WA"),"F",IF(AND($B$6="F",FF6="EXC"),"F","-"))))</f>
        <v>-</v>
      </c>
      <c r="FH6" s="61" t="str">
        <f t="shared" si="48"/>
        <v/>
      </c>
      <c r="FI6" s="61" t="str">
        <f t="shared" si="49"/>
        <v/>
      </c>
      <c r="FJ6" s="65"/>
      <c r="FK6" s="47" t="str">
        <f>IF(AND($B$6="M",FJ6="WA"),"M",IF(AND($B$6="M",FJ6="EXC"),"M",IF(AND($B$6="F",FJ6="WA"),"F",IF(AND($B$6="F",FJ6="EXC"),"F","-"))))</f>
        <v>-</v>
      </c>
      <c r="FL6" s="68"/>
      <c r="FM6" s="66"/>
      <c r="FN6" s="48"/>
      <c r="FO6" s="63"/>
      <c r="FP6" s="59" t="str">
        <f>IF(AND($B$6="M",FO6="WA"),"M",IF(AND($B$6="M",FO6="EXC"),"M",IF(AND($B$6="F",FO6="WA"),"F",IF(AND($B$6="F",FO6="EXC"),"F","-"))))</f>
        <v>-</v>
      </c>
      <c r="FQ6" s="64" t="str">
        <f t="shared" si="50"/>
        <v/>
      </c>
      <c r="FR6" s="58"/>
      <c r="FS6" s="59" t="str">
        <f>IF(AND($B$6="M",FR6="WA"),"M",IF(AND($B$6="M",FR6="EXC"),"M",IF(AND($B$6="F",FR6="WA"),"F",IF(AND($B$6="F",FR6="EXC"),"F","-"))))</f>
        <v>-</v>
      </c>
      <c r="FT6" s="64" t="str">
        <f t="shared" si="51"/>
        <v/>
      </c>
      <c r="FU6" s="58"/>
      <c r="FV6" s="59" t="str">
        <f>IF(AND($B$6="M",FU6="WA"),"M",IF(AND($B$6="M",FU6="EXC"),"M",IF(AND($B$6="F",FU6="WA"),"F",IF(AND($B$6="F",FU6="EXC"),"F","-"))))</f>
        <v>-</v>
      </c>
      <c r="FW6" s="64" t="str">
        <f t="shared" si="52"/>
        <v/>
      </c>
      <c r="FX6" s="58"/>
      <c r="FY6" s="59" t="str">
        <f>IF(AND($B$6="M",FX6="WA"),"M",IF(AND($B$6="M",FX6="EXC"),"M",IF(AND($B$6="F",FX6="WA"),"F",IF(AND($B$6="F",FX6="EXC"),"F","-"))))</f>
        <v>-</v>
      </c>
      <c r="FZ6" s="64" t="str">
        <f t="shared" si="53"/>
        <v/>
      </c>
      <c r="GA6" s="58"/>
      <c r="GB6" s="59" t="str">
        <f>IF(AND($B$6="M",GA6="WA"),"M",IF(AND($B$6="M",GA6="EXC"),"M",IF(AND($B$6="F",GA6="WA"),"F",IF(AND($B$6="F",GA6="EXC"),"F","-"))))</f>
        <v>-</v>
      </c>
      <c r="GC6" s="61" t="str">
        <f t="shared" si="54"/>
        <v/>
      </c>
      <c r="GD6" s="58"/>
      <c r="GE6" s="59" t="str">
        <f>IF(AND($B$6="M",GD6="WA"),"M",IF(AND($B$6="M",GD6="EXC"),"M",IF(AND($B$6="F",GD6="WA"),"F",IF(AND($B$6="F",GD6="EXC"),"F","-"))))</f>
        <v>-</v>
      </c>
      <c r="GF6" s="61" t="str">
        <f t="shared" si="55"/>
        <v/>
      </c>
      <c r="GG6" s="61" t="str">
        <f t="shared" si="56"/>
        <v/>
      </c>
      <c r="GH6" s="65"/>
      <c r="GI6" s="47" t="str">
        <f>IF(AND($B$6="M",GH6="WA"),"M",IF(AND($B$6="M",GH6="EXC"),"M",IF(AND($B$6="F",GH6="WA"),"F",IF(AND($B$6="F",GH6="EXC"),"F","-"))))</f>
        <v>-</v>
      </c>
      <c r="GJ6" s="68"/>
      <c r="GK6" s="66"/>
      <c r="GL6" s="48"/>
      <c r="GM6" s="63"/>
      <c r="GN6" s="59" t="str">
        <f>IF(AND($B$6="M",GM6="WA"),"M",IF(AND($B$6="M",GM6="EXC"),"M",IF(AND($B$6="F",GM6="WA"),"F",IF(AND($B$6="F",GM6="EXC"),"F","-"))))</f>
        <v>-</v>
      </c>
      <c r="GO6" s="64" t="str">
        <f t="shared" si="57"/>
        <v/>
      </c>
      <c r="GP6" s="58"/>
      <c r="GQ6" s="59" t="str">
        <f>IF(AND($B$6="M",GP6="WA"),"M",IF(AND($B$6="M",GP6="EXC"),"M",IF(AND($B$6="F",GP6="WA"),"F",IF(AND($B$6="F",GP6="EXC"),"F","-"))))</f>
        <v>-</v>
      </c>
      <c r="GR6" s="64" t="str">
        <f t="shared" si="58"/>
        <v/>
      </c>
      <c r="GS6" s="58"/>
      <c r="GT6" s="59" t="str">
        <f>IF(AND($B$6="M",GS6="WA"),"M",IF(AND($B$6="M",GS6="EXC"),"M",IF(AND($B$6="F",GS6="WA"),"F",IF(AND($B$6="F",GS6="EXC"),"F","-"))))</f>
        <v>-</v>
      </c>
      <c r="GU6" s="64" t="str">
        <f t="shared" si="59"/>
        <v/>
      </c>
      <c r="GV6" s="61" t="str">
        <f t="shared" si="60"/>
        <v/>
      </c>
      <c r="GW6" s="65"/>
      <c r="GX6" s="47" t="str">
        <f>IF(AND($B$6="M",GW6="WA"),"M",IF(AND($B$6="M",GW6="EXC"),"M",IF(AND($B$6="F",GW6="WA"),"F",IF(AND($B$6="F",GW6="EXC"),"F","-"))))</f>
        <v>-</v>
      </c>
      <c r="GY6" s="68"/>
      <c r="GZ6" s="66"/>
      <c r="HA6" s="48"/>
      <c r="HB6" s="63"/>
      <c r="HC6" s="59" t="str">
        <f>IF(AND($B$6="M",HB6="WA"),"M",IF(AND($B$6="M",HB6="EXC"),"M",IF(AND($B$6="F",HB6="WA"),"F",IF(AND($B$6="F",HB6="EXC"),"F","-"))))</f>
        <v>-</v>
      </c>
      <c r="HD6" s="64" t="str">
        <f t="shared" si="61"/>
        <v/>
      </c>
      <c r="HE6" s="58"/>
      <c r="HF6" s="59" t="str">
        <f>IF(AND($B$6="M",HE6="WA"),"M",IF(AND($B$6="M",HE6="EXC"),"M",IF(AND($B$6="F",HE6="WA"),"F",IF(AND($B$6="F",HE6="EXC"),"F","-"))))</f>
        <v>-</v>
      </c>
      <c r="HG6" s="64" t="str">
        <f t="shared" si="62"/>
        <v/>
      </c>
      <c r="HH6" s="58"/>
      <c r="HI6" s="59" t="str">
        <f>IF(AND($B$6="M",HH6="WA"),"M",IF(AND($B$6="M",HH6="EXC"),"M",IF(AND($B$6="F",HH6="WA"),"F",IF(AND($B$6="F",HH6="EXC"),"F","-"))))</f>
        <v>-</v>
      </c>
      <c r="HJ6" s="64" t="str">
        <f t="shared" si="63"/>
        <v/>
      </c>
      <c r="HK6" s="61" t="str">
        <f t="shared" si="64"/>
        <v/>
      </c>
      <c r="HL6" s="65"/>
      <c r="HM6" s="47" t="str">
        <f>IF(AND($B$6="M",HL6="WA"),"M",IF(AND($B$6="M",HL6="EXC"),"M",IF(AND($B$6="F",HL6="WA"),"F",IF(AND($B$6="F",HL6="EXC"),"F","-"))))</f>
        <v>-</v>
      </c>
      <c r="HN6" s="13"/>
      <c r="HO6" s="14"/>
      <c r="HP6" s="15"/>
      <c r="HQ6" s="54"/>
      <c r="HR6" s="55" t="str">
        <f>IF(AND($B$6="M",HQ6="WA"),"M",IF(AND($B$6="M",HQ6="EXC"),"M",IF(AND($B$6="F",HQ6="WA"),"F",IF(AND($B$6="F",HQ6="EXC"),"F","-"))))</f>
        <v>-</v>
      </c>
      <c r="HS6" s="56" t="str">
        <f t="shared" si="65"/>
        <v/>
      </c>
      <c r="HT6" s="54"/>
      <c r="HU6" s="55" t="str">
        <f>IF(AND($B$6="M",HT6="WA"),"M",IF(AND($B$6="M",HT6="EXC"),"M",IF(AND($B$6="F",HT6="WA"),"F",IF(AND($B$6="F",HT6="EXC"),"F","-"))))</f>
        <v>-</v>
      </c>
      <c r="HV6" s="56" t="str">
        <f t="shared" si="66"/>
        <v/>
      </c>
      <c r="HW6" s="54"/>
      <c r="HX6" s="55" t="str">
        <f>IF(AND($B$6="M",HW6="WA"),"M",IF(AND($B$6="M",HW6="EXC"),"M",IF(AND($B$6="F",HW6="WA"),"F",IF(AND($B$6="F",HW6="EXC"),"F","-"))))</f>
        <v>-</v>
      </c>
      <c r="HY6" s="56" t="str">
        <f t="shared" si="67"/>
        <v/>
      </c>
      <c r="HZ6" s="54" t="str">
        <f t="shared" si="68"/>
        <v/>
      </c>
      <c r="IA6" s="67"/>
      <c r="IB6" s="55" t="str">
        <f>IF(AND($B$6="M",IA6="WA"),"M",IF(AND($B$6="M",IA6="EXC"),"M",IF(AND($B$6="F",IA6="WA"),"F",IF(AND($B$6="F",IA6="EXC"),"F","-"))))</f>
        <v>-</v>
      </c>
      <c r="IC6" s="17"/>
    </row>
    <row r="7">
      <c r="A7" s="40"/>
      <c r="B7" s="41"/>
      <c r="C7" s="58"/>
      <c r="D7" s="59" t="str">
        <f>IF(AND($B$7="M",C7="WA"),"M",IF(AND($B$7="M",C7="EXC"),"M",IF(AND($B$7="F",C7="WA"),"F",IF(AND($B$7="F",C7="EXC"),"F","-"))))</f>
        <v>-</v>
      </c>
      <c r="E7" s="60" t="str">
        <f t="shared" si="1"/>
        <v/>
      </c>
      <c r="F7" s="58"/>
      <c r="G7" s="59" t="str">
        <f>IF(AND($B$7="M",F7="WA"),"M",IF(AND($B$7="M",F7="EXC"),"M",IF(AND($B$7="F",F7="WA"),"F",IF(AND($B$7="F",F7="EXC"),"F","-"))))</f>
        <v>-</v>
      </c>
      <c r="H7" s="60" t="str">
        <f t="shared" si="2"/>
        <v/>
      </c>
      <c r="I7" s="58"/>
      <c r="J7" s="59" t="str">
        <f>IF(AND($B$7="M",I7="WA"),"M",IF(AND($B$7="M",I7="EXC"),"M",IF(AND($B$7="F",I7="WA"),"F",IF(AND($B$7="F",I7="EXC"),"F","-"))))</f>
        <v>-</v>
      </c>
      <c r="K7" s="60" t="str">
        <f t="shared" si="3"/>
        <v/>
      </c>
      <c r="L7" s="58"/>
      <c r="M7" s="59" t="str">
        <f>IF(AND($B$7="M",L7="WA"),"M",IF(AND($B$7="M",L7="EXC"),"M",IF(AND($B$7="F",L7="WA"),"F",IF(AND($B$7="F",L7="EXC"),"F","-"))))</f>
        <v>-</v>
      </c>
      <c r="N7" s="60" t="str">
        <f t="shared" si="4"/>
        <v/>
      </c>
      <c r="O7" s="58"/>
      <c r="P7" s="59" t="str">
        <f>IF(AND($B$7="M",O7="WA"),"M",IF(AND($B$7="M",O7="EXC"),"M",IF(AND($B$7="F",O7="WA"),"F",IF(AND($B$7="F",O7="EXC"),"F","-"))))</f>
        <v>-</v>
      </c>
      <c r="Q7" s="60" t="str">
        <f t="shared" si="5"/>
        <v/>
      </c>
      <c r="R7" s="58"/>
      <c r="S7" s="59" t="str">
        <f>IF(AND($B$7="M",R7="WA"),"M",IF(AND($B$7="M",R7="EXC"),"M",IF(AND($B$7="F",R7="WA"),"F",IF(AND($B$7="F",R7="EXC"),"F","-"))))</f>
        <v>-</v>
      </c>
      <c r="T7" s="60" t="str">
        <f t="shared" si="6"/>
        <v/>
      </c>
      <c r="U7" s="61" t="str">
        <f t="shared" si="7"/>
        <v/>
      </c>
      <c r="V7" s="62"/>
      <c r="W7" s="47" t="str">
        <f>IF(AND($B$7="M",V7="WA"),"M",IF(AND($B$7="M",V7="EXC"),"M",IF(AND($B$7="F",V7="WA"),"F",IF(AND($B$7="F",V7="EXC"),"F","-"))))</f>
        <v>-</v>
      </c>
      <c r="X7" s="48"/>
      <c r="Y7" s="49"/>
      <c r="Z7" s="48"/>
      <c r="AA7" s="63"/>
      <c r="AB7" s="59" t="str">
        <f>IF(AND($B$7="M",AA7="WA"),"M",IF(AND($B$7="M",AA7="EXC"),"M",IF(AND($B$7="F",AA7="WA"),"F",IF(AND($B$7="F",AA7="EXC"),"F","-"))))</f>
        <v>-</v>
      </c>
      <c r="AC7" s="64" t="str">
        <f t="shared" si="8"/>
        <v/>
      </c>
      <c r="AD7" s="58"/>
      <c r="AE7" s="59" t="str">
        <f>IF(AND($B$7="M",AD7="WA"),"M",IF(AND($B$7="M",AD7="EXC"),"M",IF(AND($B$7="F",AD7="WA"),"F",IF(AND($B$7="F",AD7="EXC"),"F","-"))))</f>
        <v>-</v>
      </c>
      <c r="AF7" s="64" t="str">
        <f t="shared" si="9"/>
        <v/>
      </c>
      <c r="AG7" s="58"/>
      <c r="AH7" s="59" t="str">
        <f>IF(AND($B$7="M",AG7="WA"),"M",IF(AND($B$7="M",AG7="EXC"),"M",IF(AND($B$7="F",AG7="WA"),"F",IF(AND($B$7="F",AG7="EXC"),"F","-"))))</f>
        <v>-</v>
      </c>
      <c r="AI7" s="64" t="str">
        <f t="shared" si="10"/>
        <v/>
      </c>
      <c r="AJ7" s="58"/>
      <c r="AK7" s="59" t="str">
        <f>IF(AND($B$7="M",AJ7="WA"),"M",IF(AND($B$7="M",AJ7="EXC"),"M",IF(AND($B$7="F",AJ7="WA"),"F",IF(AND($B$7="F",AJ7="EXC"),"F","-"))))</f>
        <v>-</v>
      </c>
      <c r="AL7" s="64" t="str">
        <f t="shared" si="11"/>
        <v/>
      </c>
      <c r="AM7" s="58"/>
      <c r="AN7" s="59" t="str">
        <f>IF(AND($B$7="M",AM7="WA"),"M",IF(AND($B$7="M",AM7="EXC"),"M",IF(AND($B$7="F",AM7="WA"),"F",IF(AND($B$7="F",AM7="EXC"),"F","-"))))</f>
        <v>-</v>
      </c>
      <c r="AO7" s="61" t="str">
        <f t="shared" si="12"/>
        <v/>
      </c>
      <c r="AP7" s="58"/>
      <c r="AQ7" s="59" t="str">
        <f>IF(AND($B$7="M",AP7="WA"),"M",IF(AND($B$7="M",AP7="EXC"),"M",IF(AND($B$7="F",AP7="WA"),"F",IF(AND($B$7="F",AP7="EXC"),"F","-"))))</f>
        <v>-</v>
      </c>
      <c r="AR7" s="61" t="str">
        <f t="shared" si="13"/>
        <v/>
      </c>
      <c r="AS7" s="61" t="str">
        <f t="shared" si="14"/>
        <v/>
      </c>
      <c r="AT7" s="65"/>
      <c r="AU7" s="47" t="str">
        <f>IF(AND($B$7="M",AT7="WA"),"M",IF(AND($B$7="M",AT7="EXC"),"M",IF(AND($B$7="F",AT7="WA"),"F",IF(AND($B$7="F",AT7="EXC"),"F","-"))))</f>
        <v>-</v>
      </c>
      <c r="AV7" s="68"/>
      <c r="AW7" s="66"/>
      <c r="AX7" s="48"/>
      <c r="AY7" s="63"/>
      <c r="AZ7" s="59" t="str">
        <f>IF(AND($B$7="M",AY7="WA"),"M",IF(AND($B$7="M",AY7="EXC"),"M",IF(AND($B$7="F",AY7="WA"),"F",IF(AND($B$7="F",AY7="EXC"),"F","-"))))</f>
        <v>-</v>
      </c>
      <c r="BA7" s="64" t="str">
        <f t="shared" si="15"/>
        <v/>
      </c>
      <c r="BB7" s="58"/>
      <c r="BC7" s="59" t="str">
        <f>IF(AND($B$7="M",BB7="WA"),"M",IF(AND($B$7="M",BB7="EXC"),"M",IF(AND($B$7="F",BB7="WA"),"F",IF(AND($B$7="F",BB7="EXC"),"F","-"))))</f>
        <v>-</v>
      </c>
      <c r="BD7" s="64" t="str">
        <f t="shared" si="16"/>
        <v/>
      </c>
      <c r="BE7" s="58"/>
      <c r="BF7" s="59" t="str">
        <f>IF(AND($B$7="M",BE7="WA"),"M",IF(AND($B$7="M",BE7="EXC"),"M",IF(AND($B$7="F",BE7="WA"),"F",IF(AND($B$7="F",BE7="EXC"),"F","-"))))</f>
        <v>-</v>
      </c>
      <c r="BG7" s="64" t="str">
        <f t="shared" si="17"/>
        <v/>
      </c>
      <c r="BH7" s="58"/>
      <c r="BI7" s="59" t="str">
        <f>IF(AND($B$7="M",BH7="WA"),"M",IF(AND($B$7="M",BH7="EXC"),"M",IF(AND($B$7="F",BH7="WA"),"F",IF(AND($B$7="F",BH7="EXC"),"F","-"))))</f>
        <v>-</v>
      </c>
      <c r="BJ7" s="64" t="str">
        <f t="shared" si="18"/>
        <v/>
      </c>
      <c r="BK7" s="58"/>
      <c r="BL7" s="59" t="str">
        <f>IF(AND($B$7="M",BK7="WA"),"M",IF(AND($B$7="M",BK7="EXC"),"M",IF(AND($B$7="F",BK7="WA"),"F",IF(AND($B$7="F",BK7="EXC"),"F","-"))))</f>
        <v>-</v>
      </c>
      <c r="BM7" s="61" t="str">
        <f t="shared" si="19"/>
        <v/>
      </c>
      <c r="BN7" s="58"/>
      <c r="BO7" s="59" t="str">
        <f>IF(AND($B$7="M",BN7="WA"),"M",IF(AND($B$7="M",BN7="EXC"),"M",IF(AND($B$7="F",BN7="WA"),"F",IF(AND($B$7="F",BN7="EXC"),"F","-"))))</f>
        <v>-</v>
      </c>
      <c r="BP7" s="61" t="str">
        <f t="shared" si="20"/>
        <v/>
      </c>
      <c r="BQ7" s="61" t="str">
        <f t="shared" si="21"/>
        <v/>
      </c>
      <c r="BR7" s="65"/>
      <c r="BS7" s="47" t="str">
        <f>IF(AND($B$7="M",BR7="WA"),"M",IF(AND($B$7="M",BR7="EXC"),"M",IF(AND($B$7="F",BR7="WA"),"F",IF(AND($B$7="F",BR7="EXC"),"F","-"))))</f>
        <v>-</v>
      </c>
      <c r="BT7" s="68"/>
      <c r="BU7" s="66"/>
      <c r="BV7" s="48"/>
      <c r="BW7" s="63"/>
      <c r="BX7" s="59" t="str">
        <f>IF(AND($B$7="M",BW7="WA"),"M",IF(AND($B$7="M",BW7="EXC"),"M",IF(AND($B$7="F",BW7="WA"),"F",IF(AND($B$7="F",BW7="EXC"),"F","-"))))</f>
        <v>-</v>
      </c>
      <c r="BY7" s="64" t="str">
        <f t="shared" si="22"/>
        <v/>
      </c>
      <c r="BZ7" s="58"/>
      <c r="CA7" s="59" t="str">
        <f>IF(AND($B$7="M",BZ7="WA"),"M",IF(AND($B$7="M",BZ7="EXC"),"M",IF(AND($B$7="F",BZ7="WA"),"F",IF(AND($B$7="F",BZ7="EXC"),"F","-"))))</f>
        <v>-</v>
      </c>
      <c r="CB7" s="64" t="str">
        <f t="shared" si="23"/>
        <v/>
      </c>
      <c r="CC7" s="58"/>
      <c r="CD7" s="59" t="str">
        <f>IF(AND($B$7="M",CC7="WA"),"M",IF(AND($B$7="M",CC7="EXC"),"M",IF(AND($B$7="F",CC7="WA"),"F",IF(AND($B$7="F",CC7="EXC"),"F","-"))))</f>
        <v>-</v>
      </c>
      <c r="CE7" s="64" t="str">
        <f t="shared" si="24"/>
        <v/>
      </c>
      <c r="CF7" s="58"/>
      <c r="CG7" s="59" t="str">
        <f>IF(AND($B$7="M",CF7="WA"),"M",IF(AND($B$7="M",CF7="EXC"),"M",IF(AND($B$7="F",CF7="WA"),"F",IF(AND($B$7="F",CF7="EXC"),"F","-"))))</f>
        <v>-</v>
      </c>
      <c r="CH7" s="64" t="str">
        <f t="shared" si="25"/>
        <v/>
      </c>
      <c r="CI7" s="58"/>
      <c r="CJ7" s="59" t="str">
        <f>IF(AND($B$7="M",CI7="WA"),"M",IF(AND($B$7="M",CI7="EXC"),"M",IF(AND($B$7="F",CI7="WA"),"F",IF(AND($B$7="F",CI7="EXC"),"F","-"))))</f>
        <v>-</v>
      </c>
      <c r="CK7" s="61" t="str">
        <f t="shared" si="26"/>
        <v/>
      </c>
      <c r="CL7" s="58"/>
      <c r="CM7" s="59" t="str">
        <f>IF(AND($B$7="M",CL7="WA"),"M",IF(AND($B$7="M",CL7="EXC"),"M",IF(AND($B$7="F",CL7="WA"),"F",IF(AND($B$7="F",CL7="EXC"),"F","-"))))</f>
        <v>-</v>
      </c>
      <c r="CN7" s="61" t="str">
        <f t="shared" si="27"/>
        <v/>
      </c>
      <c r="CO7" s="61" t="str">
        <f t="shared" si="28"/>
        <v/>
      </c>
      <c r="CP7" s="65"/>
      <c r="CQ7" s="47" t="str">
        <f>IF(AND($B$7="M",CP7="WA"),"M",IF(AND($B$7="M",CP7="EXC"),"M",IF(AND($B$7="F",CP7="WA"),"F",IF(AND($B$7="F",CP7="EXC"),"F","-"))))</f>
        <v>-</v>
      </c>
      <c r="CR7" s="68"/>
      <c r="CS7" s="66"/>
      <c r="CT7" s="48"/>
      <c r="CU7" s="63"/>
      <c r="CV7" s="59" t="str">
        <f>IF(AND($B$7="M",CU7="WA"),"M",IF(AND($B$7="M",CU7="EXC"),"M",IF(AND($B$7="F",CU7="WA"),"F",IF(AND($B$7="F",CU7="EXC"),"F","-"))))</f>
        <v>-</v>
      </c>
      <c r="CW7" s="64" t="str">
        <f t="shared" si="29"/>
        <v/>
      </c>
      <c r="CX7" s="58"/>
      <c r="CY7" s="59" t="str">
        <f>IF(AND($B$7="M",CX7="WA"),"M",IF(AND($B$7="M",CX7="EXC"),"M",IF(AND($B$7="F",CX7="WA"),"F",IF(AND($B$7="F",CX7="EXC"),"F","-"))))</f>
        <v>-</v>
      </c>
      <c r="CZ7" s="64" t="str">
        <f t="shared" si="30"/>
        <v/>
      </c>
      <c r="DA7" s="58"/>
      <c r="DB7" s="59" t="str">
        <f>IF(AND($B$7="M",DA7="WA"),"M",IF(AND($B$7="M",DA7="EXC"),"M",IF(AND($B$7="F",DA7="WA"),"F",IF(AND($B$7="F",DA7="EXC"),"F","-"))))</f>
        <v>-</v>
      </c>
      <c r="DC7" s="64" t="str">
        <f t="shared" si="31"/>
        <v/>
      </c>
      <c r="DD7" s="58"/>
      <c r="DE7" s="59" t="str">
        <f>IF(AND($B$7="M",DD7="WA"),"M",IF(AND($B$7="M",DD7="EXC"),"M",IF(AND($B$7="F",DD7="WA"),"F",IF(AND($B$7="F",DD7="EXC"),"F","-"))))</f>
        <v>-</v>
      </c>
      <c r="DF7" s="64" t="str">
        <f t="shared" si="32"/>
        <v/>
      </c>
      <c r="DG7" s="58"/>
      <c r="DH7" s="59" t="str">
        <f>IF(AND($B$7="M",DG7="WA"),"M",IF(AND($B$7="M",DG7="EXC"),"M",IF(AND($B$7="F",DG7="WA"),"F",IF(AND($B$7="F",DG7="EXC"),"F","-"))))</f>
        <v>-</v>
      </c>
      <c r="DI7" s="61" t="str">
        <f t="shared" si="33"/>
        <v/>
      </c>
      <c r="DJ7" s="58"/>
      <c r="DK7" s="59" t="str">
        <f>IF(AND($B$7="M",DJ7="WA"),"M",IF(AND($B$7="M",DJ7="EXC"),"M",IF(AND($B$7="F",DJ7="WA"),"F",IF(AND($B$7="F",DJ7="EXC"),"F","-"))))</f>
        <v>-</v>
      </c>
      <c r="DL7" s="61" t="str">
        <f t="shared" si="34"/>
        <v/>
      </c>
      <c r="DM7" s="61" t="str">
        <f t="shared" si="35"/>
        <v/>
      </c>
      <c r="DN7" s="65"/>
      <c r="DO7" s="47" t="str">
        <f>IF(AND($B$7="M",DN7="WA"),"M",IF(AND($B$7="M",DN7="EXC"),"M",IF(AND($B$7="F",DN7="WA"),"F",IF(AND($B$7="F",DN7="EXC"),"F","-"))))</f>
        <v>-</v>
      </c>
      <c r="DP7" s="68"/>
      <c r="DQ7" s="66"/>
      <c r="DR7" s="48"/>
      <c r="DS7" s="63"/>
      <c r="DT7" s="59" t="str">
        <f>IF(AND($B$7="M",DS7="WA"),"M",IF(AND($B$7="M",DS7="EXC"),"M",IF(AND($B$7="F",DS7="WA"),"F",IF(AND($B$7="F",DS7="EXC"),"F","-"))))</f>
        <v>-</v>
      </c>
      <c r="DU7" s="64" t="str">
        <f t="shared" si="36"/>
        <v/>
      </c>
      <c r="DV7" s="58"/>
      <c r="DW7" s="59" t="str">
        <f>IF(AND($B$7="M",DV7="WA"),"M",IF(AND($B$7="M",DV7="EXC"),"M",IF(AND($B$7="F",DV7="WA"),"F",IF(AND($B$7="F",DV7="EXC"),"F","-"))))</f>
        <v>-</v>
      </c>
      <c r="DX7" s="64" t="str">
        <f t="shared" si="37"/>
        <v/>
      </c>
      <c r="DY7" s="58"/>
      <c r="DZ7" s="59" t="str">
        <f>IF(AND($B$7="M",DY7="WA"),"M",IF(AND($B$7="M",DY7="EXC"),"M",IF(AND($B$7="F",DY7="WA"),"F",IF(AND($B$7="F",DY7="EXC"),"F","-"))))</f>
        <v>-</v>
      </c>
      <c r="EA7" s="64" t="str">
        <f t="shared" si="38"/>
        <v/>
      </c>
      <c r="EB7" s="58"/>
      <c r="EC7" s="59" t="str">
        <f>IF(AND($B$7="M",EB7="WA"),"M",IF(AND($B$7="M",EB7="EXC"),"M",IF(AND($B$7="F",EB7="WA"),"F",IF(AND($B$7="F",EB7="EXC"),"F","-"))))</f>
        <v>-</v>
      </c>
      <c r="ED7" s="64" t="str">
        <f t="shared" si="39"/>
        <v/>
      </c>
      <c r="EE7" s="58"/>
      <c r="EF7" s="59" t="str">
        <f>IF(AND($B$7="M",EE7="WA"),"M",IF(AND($B$7="M",EE7="EXC"),"M",IF(AND($B$7="F",EE7="WA"),"F",IF(AND($B$7="F",EE7="EXC"),"F","-"))))</f>
        <v>-</v>
      </c>
      <c r="EG7" s="61" t="str">
        <f t="shared" si="40"/>
        <v/>
      </c>
      <c r="EH7" s="58"/>
      <c r="EI7" s="59" t="str">
        <f>IF(AND($B$7="M",EH7="WA"),"M",IF(AND($B$7="M",EH7="EXC"),"M",IF(AND($B$7="F",EH7="WA"),"F",IF(AND($B$7="F",EH7="EXC"),"F","-"))))</f>
        <v>-</v>
      </c>
      <c r="EJ7" s="61" t="str">
        <f t="shared" si="41"/>
        <v/>
      </c>
      <c r="EK7" s="61" t="str">
        <f t="shared" si="42"/>
        <v/>
      </c>
      <c r="EL7" s="65"/>
      <c r="EM7" s="47" t="str">
        <f>IF(AND($B$7="M",EL7="WA"),"M",IF(AND($B$7="M",EL7="EXC"),"M",IF(AND($B$7="F",EL7="WA"),"F",IF(AND($B$7="F",EL7="EXC"),"F","-"))))</f>
        <v>-</v>
      </c>
      <c r="EN7" s="68"/>
      <c r="EO7" s="66"/>
      <c r="EP7" s="48"/>
      <c r="EQ7" s="63"/>
      <c r="ER7" s="59" t="str">
        <f>IF(AND($B$7="M",EQ7="WA"),"M",IF(AND($B$7="M",EQ7="EXC"),"M",IF(AND($B$7="F",EQ7="WA"),"F",IF(AND($B$7="F",EQ7="EXC"),"F","-"))))</f>
        <v>-</v>
      </c>
      <c r="ES7" s="64" t="str">
        <f t="shared" si="43"/>
        <v/>
      </c>
      <c r="ET7" s="58"/>
      <c r="EU7" s="59" t="str">
        <f>IF(AND($B$7="M",ET7="WA"),"M",IF(AND($B$7="M",ET7="EXC"),"M",IF(AND($B$7="F",ET7="WA"),"F",IF(AND($B$7="F",ET7="EXC"),"F","-"))))</f>
        <v>-</v>
      </c>
      <c r="EV7" s="64" t="str">
        <f t="shared" si="44"/>
        <v/>
      </c>
      <c r="EW7" s="58"/>
      <c r="EX7" s="59" t="str">
        <f>IF(AND($B$7="M",EW7="WA"),"M",IF(AND($B$7="M",EW7="EXC"),"M",IF(AND($B$7="F",EW7="WA"),"F",IF(AND($B$7="F",EW7="EXC"),"F","-"))))</f>
        <v>-</v>
      </c>
      <c r="EY7" s="64" t="str">
        <f t="shared" si="45"/>
        <v/>
      </c>
      <c r="EZ7" s="58"/>
      <c r="FA7" s="59" t="str">
        <f>IF(AND($B$7="M",EZ7="WA"),"M",IF(AND($B$7="M",EZ7="EXC"),"M",IF(AND($B$7="F",EZ7="WA"),"F",IF(AND($B$7="F",EZ7="EXC"),"F","-"))))</f>
        <v>-</v>
      </c>
      <c r="FB7" s="64" t="str">
        <f t="shared" si="46"/>
        <v/>
      </c>
      <c r="FC7" s="58"/>
      <c r="FD7" s="59" t="str">
        <f>IF(AND($B$7="M",FC7="WA"),"M",IF(AND($B$7="M",FC7="EXC"),"M",IF(AND($B$7="F",FC7="WA"),"F",IF(AND($B$7="F",FC7="EXC"),"F","-"))))</f>
        <v>-</v>
      </c>
      <c r="FE7" s="61" t="str">
        <f t="shared" si="47"/>
        <v/>
      </c>
      <c r="FF7" s="58"/>
      <c r="FG7" s="59" t="str">
        <f>IF(AND($B$7="M",FF7="WA"),"M",IF(AND($B$7="M",FF7="EXC"),"M",IF(AND($B$7="F",FF7="WA"),"F",IF(AND($B$7="F",FF7="EXC"),"F","-"))))</f>
        <v>-</v>
      </c>
      <c r="FH7" s="61" t="str">
        <f t="shared" si="48"/>
        <v/>
      </c>
      <c r="FI7" s="61" t="str">
        <f t="shared" si="49"/>
        <v/>
      </c>
      <c r="FJ7" s="65"/>
      <c r="FK7" s="47" t="str">
        <f>IF(AND($B$7="M",FJ7="WA"),"M",IF(AND($B$7="M",FJ7="EXC"),"M",IF(AND($B$7="F",FJ7="WA"),"F",IF(AND($B$7="F",FJ7="EXC"),"F","-"))))</f>
        <v>-</v>
      </c>
      <c r="FL7" s="68"/>
      <c r="FM7" s="66"/>
      <c r="FN7" s="48"/>
      <c r="FO7" s="63"/>
      <c r="FP7" s="59" t="str">
        <f>IF(AND($B$7="M",FO7="WA"),"M",IF(AND($B$7="M",FO7="EXC"),"M",IF(AND($B$7="F",FO7="WA"),"F",IF(AND($B$7="F",FO7="EXC"),"F","-"))))</f>
        <v>-</v>
      </c>
      <c r="FQ7" s="64" t="str">
        <f t="shared" si="50"/>
        <v/>
      </c>
      <c r="FR7" s="58"/>
      <c r="FS7" s="59" t="str">
        <f>IF(AND($B$7="M",FR7="WA"),"M",IF(AND($B$7="M",FR7="EXC"),"M",IF(AND($B$7="F",FR7="WA"),"F",IF(AND($B$7="F",FR7="EXC"),"F","-"))))</f>
        <v>-</v>
      </c>
      <c r="FT7" s="64" t="str">
        <f t="shared" si="51"/>
        <v/>
      </c>
      <c r="FU7" s="58"/>
      <c r="FV7" s="59" t="str">
        <f>IF(AND($B$7="M",FU7="WA"),"M",IF(AND($B$7="M",FU7="EXC"),"M",IF(AND($B$7="F",FU7="WA"),"F",IF(AND($B$7="F",FU7="EXC"),"F","-"))))</f>
        <v>-</v>
      </c>
      <c r="FW7" s="64" t="str">
        <f t="shared" si="52"/>
        <v/>
      </c>
      <c r="FX7" s="58"/>
      <c r="FY7" s="59" t="str">
        <f>IF(AND($B$7="M",FX7="WA"),"M",IF(AND($B$7="M",FX7="EXC"),"M",IF(AND($B$7="F",FX7="WA"),"F",IF(AND($B$7="F",FX7="EXC"),"F","-"))))</f>
        <v>-</v>
      </c>
      <c r="FZ7" s="64" t="str">
        <f t="shared" si="53"/>
        <v/>
      </c>
      <c r="GA7" s="58"/>
      <c r="GB7" s="59" t="str">
        <f>IF(AND($B$7="M",GA7="WA"),"M",IF(AND($B$7="M",GA7="EXC"),"M",IF(AND($B$7="F",GA7="WA"),"F",IF(AND($B$7="F",GA7="EXC"),"F","-"))))</f>
        <v>-</v>
      </c>
      <c r="GC7" s="61" t="str">
        <f t="shared" si="54"/>
        <v/>
      </c>
      <c r="GD7" s="58"/>
      <c r="GE7" s="59" t="str">
        <f>IF(AND($B$7="M",GD7="WA"),"M",IF(AND($B$7="M",GD7="EXC"),"M",IF(AND($B$7="F",GD7="WA"),"F",IF(AND($B$7="F",GD7="EXC"),"F","-"))))</f>
        <v>-</v>
      </c>
      <c r="GF7" s="61" t="str">
        <f t="shared" si="55"/>
        <v/>
      </c>
      <c r="GG7" s="61" t="str">
        <f t="shared" si="56"/>
        <v/>
      </c>
      <c r="GH7" s="65"/>
      <c r="GI7" s="47" t="str">
        <f>IF(AND($B$7="M",GH7="WA"),"M",IF(AND($B$7="M",GH7="EXC"),"M",IF(AND($B$7="F",GH7="WA"),"F",IF(AND($B$7="F",GH7="EXC"),"F","-"))))</f>
        <v>-</v>
      </c>
      <c r="GJ7" s="68"/>
      <c r="GK7" s="66"/>
      <c r="GL7" s="48"/>
      <c r="GM7" s="63"/>
      <c r="GN7" s="59" t="str">
        <f>IF(AND($B$7="M",GM7="WA"),"M",IF(AND($B$7="M",GM7="EXC"),"M",IF(AND($B$7="F",GM7="WA"),"F",IF(AND($B$7="F",GM7="EXC"),"F","-"))))</f>
        <v>-</v>
      </c>
      <c r="GO7" s="64" t="str">
        <f t="shared" si="57"/>
        <v/>
      </c>
      <c r="GP7" s="58"/>
      <c r="GQ7" s="59" t="str">
        <f>IF(AND($B$7="M",GP7="WA"),"M",IF(AND($B$7="M",GP7="EXC"),"M",IF(AND($B$7="F",GP7="WA"),"F",IF(AND($B$7="F",GP7="EXC"),"F","-"))))</f>
        <v>-</v>
      </c>
      <c r="GR7" s="64" t="str">
        <f t="shared" si="58"/>
        <v/>
      </c>
      <c r="GS7" s="58"/>
      <c r="GT7" s="59" t="str">
        <f>IF(AND($B$7="M",GS7="WA"),"M",IF(AND($B$7="M",GS7="EXC"),"M",IF(AND($B$7="F",GS7="WA"),"F",IF(AND($B$7="F",GS7="EXC"),"F","-"))))</f>
        <v>-</v>
      </c>
      <c r="GU7" s="64" t="str">
        <f t="shared" si="59"/>
        <v/>
      </c>
      <c r="GV7" s="61" t="str">
        <f t="shared" si="60"/>
        <v/>
      </c>
      <c r="GW7" s="65"/>
      <c r="GX7" s="47" t="str">
        <f>IF(AND($B$7="M",GW7="WA"),"M",IF(AND($B$7="M",GW7="EXC"),"M",IF(AND($B$7="F",GW7="WA"),"F",IF(AND($B$7="F",GW7="EXC"),"F","-"))))</f>
        <v>-</v>
      </c>
      <c r="GY7" s="68"/>
      <c r="GZ7" s="66"/>
      <c r="HA7" s="48"/>
      <c r="HB7" s="63"/>
      <c r="HC7" s="59" t="str">
        <f>IF(AND($B$7="M",HB7="WA"),"M",IF(AND($B$7="M",HB7="EXC"),"M",IF(AND($B$7="F",HB7="WA"),"F",IF(AND($B$7="F",HB7="EXC"),"F","-"))))</f>
        <v>-</v>
      </c>
      <c r="HD7" s="64" t="str">
        <f t="shared" si="61"/>
        <v/>
      </c>
      <c r="HE7" s="58"/>
      <c r="HF7" s="59" t="str">
        <f>IF(AND($B$7="M",HE7="WA"),"M",IF(AND($B$7="M",HE7="EXC"),"M",IF(AND($B$7="F",HE7="WA"),"F",IF(AND($B$7="F",HE7="EXC"),"F","-"))))</f>
        <v>-</v>
      </c>
      <c r="HG7" s="64" t="str">
        <f t="shared" si="62"/>
        <v/>
      </c>
      <c r="HH7" s="58"/>
      <c r="HI7" s="59" t="str">
        <f>IF(AND($B$7="M",HH7="WA"),"M",IF(AND($B$7="M",HH7="EXC"),"M",IF(AND($B$7="F",HH7="WA"),"F",IF(AND($B$7="F",HH7="EXC"),"F","-"))))</f>
        <v>-</v>
      </c>
      <c r="HJ7" s="64" t="str">
        <f t="shared" si="63"/>
        <v/>
      </c>
      <c r="HK7" s="61" t="str">
        <f t="shared" si="64"/>
        <v/>
      </c>
      <c r="HL7" s="65"/>
      <c r="HM7" s="47" t="str">
        <f>IF(AND($B$7="M",HL7="WA"),"M",IF(AND($B$7="M",HL7="EXC"),"M",IF(AND($B$7="F",HL7="WA"),"F",IF(AND($B$7="F",HL7="EXC"),"F","-"))))</f>
        <v>-</v>
      </c>
      <c r="HN7" s="13"/>
      <c r="HO7" s="14"/>
      <c r="HP7" s="15"/>
      <c r="HQ7" s="54"/>
      <c r="HR7" s="55" t="str">
        <f>IF(AND($B$7="M",HQ7="WA"),"M",IF(AND($B$7="M",HQ7="EXC"),"M",IF(AND($B$7="F",HQ7="WA"),"F",IF(AND($B$7="F",HQ7="EXC"),"F","-"))))</f>
        <v>-</v>
      </c>
      <c r="HS7" s="56" t="str">
        <f t="shared" si="65"/>
        <v/>
      </c>
      <c r="HT7" s="54"/>
      <c r="HU7" s="55" t="str">
        <f>IF(AND($B$7="M",HT7="WA"),"M",IF(AND($B$7="M",HT7="EXC"),"M",IF(AND($B$7="F",HT7="WA"),"F",IF(AND($B$7="F",HT7="EXC"),"F","-"))))</f>
        <v>-</v>
      </c>
      <c r="HV7" s="56" t="str">
        <f t="shared" si="66"/>
        <v/>
      </c>
      <c r="HW7" s="54"/>
      <c r="HX7" s="55" t="str">
        <f>IF(AND($B$7="M",HW7="WA"),"M",IF(AND($B$7="M",HW7="EXC"),"M",IF(AND($B$7="F",HW7="WA"),"F",IF(AND($B$7="F",HW7="EXC"),"F","-"))))</f>
        <v>-</v>
      </c>
      <c r="HY7" s="56" t="str">
        <f t="shared" si="67"/>
        <v/>
      </c>
      <c r="HZ7" s="54" t="str">
        <f t="shared" si="68"/>
        <v/>
      </c>
      <c r="IA7" s="67"/>
      <c r="IB7" s="55" t="str">
        <f>IF(AND($B$7="M",IA7="WA"),"M",IF(AND($B$7="M",IA7="EXC"),"M",IF(AND($B$7="F",IA7="WA"),"F",IF(AND($B$7="F",IA7="EXC"),"F","-"))))</f>
        <v>-</v>
      </c>
      <c r="IC7" s="17"/>
    </row>
    <row r="8">
      <c r="A8" s="40"/>
      <c r="B8" s="41"/>
      <c r="C8" s="58"/>
      <c r="D8" s="59" t="str">
        <f>IF(AND($B$8="M",C8="WA"),"M",IF(AND($B$8="M",C8="EXC"),"M",IF(AND($B$8="F",C8="WA"),"F",IF(AND($B$8="F",C8="EXC"),"F","-"))))</f>
        <v>-</v>
      </c>
      <c r="E8" s="60" t="str">
        <f t="shared" si="1"/>
        <v/>
      </c>
      <c r="F8" s="58"/>
      <c r="G8" s="59" t="str">
        <f>IF(AND($B$8="M",F8="WA"),"M",IF(AND($B$8="M",F8="EXC"),"M",IF(AND($B$8="F",F8="WA"),"F",IF(AND($B$8="F",F8="EXC"),"F","-"))))</f>
        <v>-</v>
      </c>
      <c r="H8" s="60" t="str">
        <f t="shared" si="2"/>
        <v/>
      </c>
      <c r="I8" s="58"/>
      <c r="J8" s="59" t="str">
        <f>IF(AND($B$8="M",I8="WA"),"M",IF(AND($B$8="M",I8="EXC"),"M",IF(AND($B$8="F",I8="WA"),"F",IF(AND($B$8="F",I8="EXC"),"F","-"))))</f>
        <v>-</v>
      </c>
      <c r="K8" s="60" t="str">
        <f t="shared" si="3"/>
        <v/>
      </c>
      <c r="L8" s="58"/>
      <c r="M8" s="59" t="str">
        <f>IF(AND($B$8="M",L8="WA"),"M",IF(AND($B$8="M",L8="EXC"),"M",IF(AND($B$8="F",L8="WA"),"F",IF(AND($B$8="F",L8="EXC"),"F","-"))))</f>
        <v>-</v>
      </c>
      <c r="N8" s="60" t="str">
        <f t="shared" si="4"/>
        <v/>
      </c>
      <c r="O8" s="58"/>
      <c r="P8" s="59" t="str">
        <f>IF(AND($B$8="M",O8="WA"),"M",IF(AND($B$8="M",O8="EXC"),"M",IF(AND($B$8="F",O8="WA"),"F",IF(AND($B$8="F",O8="EXC"),"F","-"))))</f>
        <v>-</v>
      </c>
      <c r="Q8" s="60" t="str">
        <f t="shared" si="5"/>
        <v/>
      </c>
      <c r="R8" s="58"/>
      <c r="S8" s="59" t="str">
        <f>IF(AND($B$8="M",R8="WA"),"M",IF(AND($B$8="M",R8="EXC"),"M",IF(AND($B$8="F",R8="WA"),"F",IF(AND($B$8="F",R8="EXC"),"F","-"))))</f>
        <v>-</v>
      </c>
      <c r="T8" s="60" t="str">
        <f t="shared" si="6"/>
        <v/>
      </c>
      <c r="U8" s="61" t="str">
        <f t="shared" si="7"/>
        <v/>
      </c>
      <c r="V8" s="62"/>
      <c r="W8" s="47" t="str">
        <f>IF(AND($B$8="M",V8="WA"),"M",IF(AND($B$8="M",V8="EXC"),"M",IF(AND($B$8="F",V8="WA"),"F",IF(AND($B$8="F",V8="EXC"),"F","-"))))</f>
        <v>-</v>
      </c>
      <c r="X8" s="48"/>
      <c r="Y8" s="49"/>
      <c r="Z8" s="48"/>
      <c r="AA8" s="63"/>
      <c r="AB8" s="59" t="str">
        <f>IF(AND($B$8="M",AA8="WA"),"M",IF(AND($B$8="M",AA8="EXC"),"M",IF(AND($B$8="F",AA8="WA"),"F",IF(AND($B$8="F",AA8="EXC"),"F","-"))))</f>
        <v>-</v>
      </c>
      <c r="AC8" s="64" t="str">
        <f t="shared" si="8"/>
        <v/>
      </c>
      <c r="AD8" s="58"/>
      <c r="AE8" s="59" t="str">
        <f>IF(AND($B$8="M",AD8="WA"),"M",IF(AND($B$8="M",AD8="EXC"),"M",IF(AND($B$8="F",AD8="WA"),"F",IF(AND($B$8="F",AD8="EXC"),"F","-"))))</f>
        <v>-</v>
      </c>
      <c r="AF8" s="64" t="str">
        <f t="shared" si="9"/>
        <v/>
      </c>
      <c r="AG8" s="58"/>
      <c r="AH8" s="59" t="str">
        <f>IF(AND($B$8="M",AG8="WA"),"M",IF(AND($B$8="M",AG8="EXC"),"M",IF(AND($B$8="F",AG8="WA"),"F",IF(AND($B$8="F",AG8="EXC"),"F","-"))))</f>
        <v>-</v>
      </c>
      <c r="AI8" s="64" t="str">
        <f t="shared" si="10"/>
        <v/>
      </c>
      <c r="AJ8" s="58"/>
      <c r="AK8" s="59" t="str">
        <f>IF(AND($B$8="M",AJ8="WA"),"M",IF(AND($B$8="M",AJ8="EXC"),"M",IF(AND($B$8="F",AJ8="WA"),"F",IF(AND($B$8="F",AJ8="EXC"),"F","-"))))</f>
        <v>-</v>
      </c>
      <c r="AL8" s="64" t="str">
        <f t="shared" si="11"/>
        <v/>
      </c>
      <c r="AM8" s="58"/>
      <c r="AN8" s="59" t="str">
        <f>IF(AND($B$8="M",AM8="WA"),"M",IF(AND($B$8="M",AM8="EXC"),"M",IF(AND($B$8="F",AM8="WA"),"F",IF(AND($B$8="F",AM8="EXC"),"F","-"))))</f>
        <v>-</v>
      </c>
      <c r="AO8" s="61" t="str">
        <f t="shared" si="12"/>
        <v/>
      </c>
      <c r="AP8" s="58"/>
      <c r="AQ8" s="59" t="str">
        <f>IF(AND($B$8="M",AP8="WA"),"M",IF(AND($B$8="M",AP8="EXC"),"M",IF(AND($B$8="F",AP8="WA"),"F",IF(AND($B$8="F",AP8="EXC"),"F","-"))))</f>
        <v>-</v>
      </c>
      <c r="AR8" s="61" t="str">
        <f t="shared" si="13"/>
        <v/>
      </c>
      <c r="AS8" s="61" t="str">
        <f t="shared" si="14"/>
        <v/>
      </c>
      <c r="AT8" s="65"/>
      <c r="AU8" s="47" t="str">
        <f>IF(AND($B$8="M",AT8="WA"),"M",IF(AND($B$8="M",AT8="EXC"),"M",IF(AND($B$8="F",AT8="WA"),"F",IF(AND($B$8="F",AT8="EXC"),"F","-"))))</f>
        <v>-</v>
      </c>
      <c r="AV8" s="68"/>
      <c r="AW8" s="66"/>
      <c r="AX8" s="48"/>
      <c r="AY8" s="63"/>
      <c r="AZ8" s="59" t="str">
        <f>IF(AND($B$8="M",AY8="WA"),"M",IF(AND($B$8="M",AY8="EXC"),"M",IF(AND($B$8="F",AY8="WA"),"F",IF(AND($B$8="F",AY8="EXC"),"F","-"))))</f>
        <v>-</v>
      </c>
      <c r="BA8" s="64" t="str">
        <f t="shared" si="15"/>
        <v/>
      </c>
      <c r="BB8" s="58"/>
      <c r="BC8" s="59" t="str">
        <f>IF(AND($B$8="M",BB8="WA"),"M",IF(AND($B$8="M",BB8="EXC"),"M",IF(AND($B$8="F",BB8="WA"),"F",IF(AND($B$8="F",BB8="EXC"),"F","-"))))</f>
        <v>-</v>
      </c>
      <c r="BD8" s="64" t="str">
        <f t="shared" si="16"/>
        <v/>
      </c>
      <c r="BE8" s="58"/>
      <c r="BF8" s="59" t="str">
        <f>IF(AND($B$8="M",BE8="WA"),"M",IF(AND($B$8="M",BE8="EXC"),"M",IF(AND($B$8="F",BE8="WA"),"F",IF(AND($B$8="F",BE8="EXC"),"F","-"))))</f>
        <v>-</v>
      </c>
      <c r="BG8" s="64" t="str">
        <f t="shared" si="17"/>
        <v/>
      </c>
      <c r="BH8" s="58"/>
      <c r="BI8" s="59" t="str">
        <f>IF(AND($B$8="M",BH8="WA"),"M",IF(AND($B$8="M",BH8="EXC"),"M",IF(AND($B$8="F",BH8="WA"),"F",IF(AND($B$8="F",BH8="EXC"),"F","-"))))</f>
        <v>-</v>
      </c>
      <c r="BJ8" s="64" t="str">
        <f t="shared" si="18"/>
        <v/>
      </c>
      <c r="BK8" s="58"/>
      <c r="BL8" s="59" t="str">
        <f>IF(AND($B$8="M",BK8="WA"),"M",IF(AND($B$8="M",BK8="EXC"),"M",IF(AND($B$8="F",BK8="WA"),"F",IF(AND($B$8="F",BK8="EXC"),"F","-"))))</f>
        <v>-</v>
      </c>
      <c r="BM8" s="61" t="str">
        <f t="shared" si="19"/>
        <v/>
      </c>
      <c r="BN8" s="58"/>
      <c r="BO8" s="59" t="str">
        <f>IF(AND($B$8="M",BN8="WA"),"M",IF(AND($B$8="M",BN8="EXC"),"M",IF(AND($B$8="F",BN8="WA"),"F",IF(AND($B$8="F",BN8="EXC"),"F","-"))))</f>
        <v>-</v>
      </c>
      <c r="BP8" s="61" t="str">
        <f t="shared" si="20"/>
        <v/>
      </c>
      <c r="BQ8" s="61" t="str">
        <f t="shared" si="21"/>
        <v/>
      </c>
      <c r="BR8" s="65"/>
      <c r="BS8" s="47" t="str">
        <f>IF(AND($B$8="M",BR8="WA"),"M",IF(AND($B$8="M",BR8="EXC"),"M",IF(AND($B$8="F",BR8="WA"),"F",IF(AND($B$8="F",BR8="EXC"),"F","-"))))</f>
        <v>-</v>
      </c>
      <c r="BT8" s="68"/>
      <c r="BU8" s="66"/>
      <c r="BV8" s="48"/>
      <c r="BW8" s="63"/>
      <c r="BX8" s="59" t="str">
        <f>IF(AND($B$8="M",BW8="WA"),"M",IF(AND($B$8="M",BW8="EXC"),"M",IF(AND($B$8="F",BW8="WA"),"F",IF(AND($B$8="F",BW8="EXC"),"F","-"))))</f>
        <v>-</v>
      </c>
      <c r="BY8" s="64" t="str">
        <f t="shared" si="22"/>
        <v/>
      </c>
      <c r="BZ8" s="58"/>
      <c r="CA8" s="59" t="str">
        <f>IF(AND($B$8="M",BZ8="WA"),"M",IF(AND($B$8="M",BZ8="EXC"),"M",IF(AND($B$8="F",BZ8="WA"),"F",IF(AND($B$8="F",BZ8="EXC"),"F","-"))))</f>
        <v>-</v>
      </c>
      <c r="CB8" s="64" t="str">
        <f t="shared" si="23"/>
        <v/>
      </c>
      <c r="CC8" s="58"/>
      <c r="CD8" s="59" t="str">
        <f>IF(AND($B$8="M",CC8="WA"),"M",IF(AND($B$8="M",CC8="EXC"),"M",IF(AND($B$8="F",CC8="WA"),"F",IF(AND($B$8="F",CC8="EXC"),"F","-"))))</f>
        <v>-</v>
      </c>
      <c r="CE8" s="64" t="str">
        <f t="shared" si="24"/>
        <v/>
      </c>
      <c r="CF8" s="58"/>
      <c r="CG8" s="59" t="str">
        <f>IF(AND($B$8="M",CF8="WA"),"M",IF(AND($B$8="M",CF8="EXC"),"M",IF(AND($B$8="F",CF8="WA"),"F",IF(AND($B$8="F",CF8="EXC"),"F","-"))))</f>
        <v>-</v>
      </c>
      <c r="CH8" s="64" t="str">
        <f t="shared" si="25"/>
        <v/>
      </c>
      <c r="CI8" s="58"/>
      <c r="CJ8" s="59" t="str">
        <f>IF(AND($B$8="M",CI8="WA"),"M",IF(AND($B$8="M",CI8="EXC"),"M",IF(AND($B$8="F",CI8="WA"),"F",IF(AND($B$8="F",CI8="EXC"),"F","-"))))</f>
        <v>-</v>
      </c>
      <c r="CK8" s="61" t="str">
        <f t="shared" si="26"/>
        <v/>
      </c>
      <c r="CL8" s="58"/>
      <c r="CM8" s="59" t="str">
        <f>IF(AND($B$8="M",CL8="WA"),"M",IF(AND($B$8="M",CL8="EXC"),"M",IF(AND($B$8="F",CL8="WA"),"F",IF(AND($B$8="F",CL8="EXC"),"F","-"))))</f>
        <v>-</v>
      </c>
      <c r="CN8" s="61" t="str">
        <f t="shared" si="27"/>
        <v/>
      </c>
      <c r="CO8" s="61" t="str">
        <f t="shared" si="28"/>
        <v/>
      </c>
      <c r="CP8" s="65"/>
      <c r="CQ8" s="47" t="str">
        <f>IF(AND($B$8="M",CP8="WA"),"M",IF(AND($B$8="M",CP8="EXC"),"M",IF(AND($B$8="F",CP8="WA"),"F",IF(AND($B$8="F",CP8="EXC"),"F","-"))))</f>
        <v>-</v>
      </c>
      <c r="CR8" s="68"/>
      <c r="CS8" s="66"/>
      <c r="CT8" s="48"/>
      <c r="CU8" s="63"/>
      <c r="CV8" s="59" t="str">
        <f>IF(AND($B$8="M",CU8="WA"),"M",IF(AND($B$8="M",CU8="EXC"),"M",IF(AND($B$8="F",CU8="WA"),"F",IF(AND($B$8="F",CU8="EXC"),"F","-"))))</f>
        <v>-</v>
      </c>
      <c r="CW8" s="64" t="str">
        <f t="shared" si="29"/>
        <v/>
      </c>
      <c r="CX8" s="58"/>
      <c r="CY8" s="59" t="str">
        <f>IF(AND($B$8="M",CX8="WA"),"M",IF(AND($B$8="M",CX8="EXC"),"M",IF(AND($B$8="F",CX8="WA"),"F",IF(AND($B$8="F",CX8="EXC"),"F","-"))))</f>
        <v>-</v>
      </c>
      <c r="CZ8" s="64" t="str">
        <f t="shared" si="30"/>
        <v/>
      </c>
      <c r="DA8" s="58"/>
      <c r="DB8" s="59" t="str">
        <f>IF(AND($B$8="M",DA8="WA"),"M",IF(AND($B$8="M",DA8="EXC"),"M",IF(AND($B$8="F",DA8="WA"),"F",IF(AND($B$8="F",DA8="EXC"),"F","-"))))</f>
        <v>-</v>
      </c>
      <c r="DC8" s="64" t="str">
        <f t="shared" si="31"/>
        <v/>
      </c>
      <c r="DD8" s="58"/>
      <c r="DE8" s="59" t="str">
        <f>IF(AND($B$8="M",DD8="WA"),"M",IF(AND($B$8="M",DD8="EXC"),"M",IF(AND($B$8="F",DD8="WA"),"F",IF(AND($B$8="F",DD8="EXC"),"F","-"))))</f>
        <v>-</v>
      </c>
      <c r="DF8" s="64" t="str">
        <f t="shared" si="32"/>
        <v/>
      </c>
      <c r="DG8" s="58"/>
      <c r="DH8" s="59" t="str">
        <f>IF(AND($B$8="M",DG8="WA"),"M",IF(AND($B$8="M",DG8="EXC"),"M",IF(AND($B$8="F",DG8="WA"),"F",IF(AND($B$8="F",DG8="EXC"),"F","-"))))</f>
        <v>-</v>
      </c>
      <c r="DI8" s="61" t="str">
        <f t="shared" si="33"/>
        <v/>
      </c>
      <c r="DJ8" s="58"/>
      <c r="DK8" s="59" t="str">
        <f>IF(AND($B$8="M",DJ8="WA"),"M",IF(AND($B$8="M",DJ8="EXC"),"M",IF(AND($B$8="F",DJ8="WA"),"F",IF(AND($B$8="F",DJ8="EXC"),"F","-"))))</f>
        <v>-</v>
      </c>
      <c r="DL8" s="61" t="str">
        <f t="shared" si="34"/>
        <v/>
      </c>
      <c r="DM8" s="61" t="str">
        <f t="shared" si="35"/>
        <v/>
      </c>
      <c r="DN8" s="65"/>
      <c r="DO8" s="47" t="str">
        <f>IF(AND($B$8="M",DN8="WA"),"M",IF(AND($B$8="M",DN8="EXC"),"M",IF(AND($B$8="F",DN8="WA"),"F",IF(AND($B$8="F",DN8="EXC"),"F","-"))))</f>
        <v>-</v>
      </c>
      <c r="DP8" s="68"/>
      <c r="DQ8" s="66"/>
      <c r="DR8" s="48"/>
      <c r="DS8" s="63"/>
      <c r="DT8" s="59" t="str">
        <f>IF(AND($B$8="M",DS8="WA"),"M",IF(AND($B$8="M",DS8="EXC"),"M",IF(AND($B$8="F",DS8="WA"),"F",IF(AND($B$8="F",DS8="EXC"),"F","-"))))</f>
        <v>-</v>
      </c>
      <c r="DU8" s="64" t="str">
        <f t="shared" si="36"/>
        <v/>
      </c>
      <c r="DV8" s="58"/>
      <c r="DW8" s="59" t="str">
        <f>IF(AND($B$8="M",DV8="WA"),"M",IF(AND($B$8="M",DV8="EXC"),"M",IF(AND($B$8="F",DV8="WA"),"F",IF(AND($B$8="F",DV8="EXC"),"F","-"))))</f>
        <v>-</v>
      </c>
      <c r="DX8" s="64" t="str">
        <f t="shared" si="37"/>
        <v/>
      </c>
      <c r="DY8" s="58"/>
      <c r="DZ8" s="59" t="str">
        <f>IF(AND($B$8="M",DY8="WA"),"M",IF(AND($B$8="M",DY8="EXC"),"M",IF(AND($B$8="F",DY8="WA"),"F",IF(AND($B$8="F",DY8="EXC"),"F","-"))))</f>
        <v>-</v>
      </c>
      <c r="EA8" s="64" t="str">
        <f t="shared" si="38"/>
        <v/>
      </c>
      <c r="EB8" s="58"/>
      <c r="EC8" s="59" t="str">
        <f>IF(AND($B$8="M",EB8="WA"),"M",IF(AND($B$8="M",EB8="EXC"),"M",IF(AND($B$8="F",EB8="WA"),"F",IF(AND($B$8="F",EB8="EXC"),"F","-"))))</f>
        <v>-</v>
      </c>
      <c r="ED8" s="64" t="str">
        <f t="shared" si="39"/>
        <v/>
      </c>
      <c r="EE8" s="58"/>
      <c r="EF8" s="59" t="str">
        <f>IF(AND($B$8="M",EE8="WA"),"M",IF(AND($B$8="M",EE8="EXC"),"M",IF(AND($B$8="F",EE8="WA"),"F",IF(AND($B$8="F",EE8="EXC"),"F","-"))))</f>
        <v>-</v>
      </c>
      <c r="EG8" s="61" t="str">
        <f t="shared" si="40"/>
        <v/>
      </c>
      <c r="EH8" s="58"/>
      <c r="EI8" s="59" t="str">
        <f>IF(AND($B$8="M",EH8="WA"),"M",IF(AND($B$8="M",EH8="EXC"),"M",IF(AND($B$8="F",EH8="WA"),"F",IF(AND($B$8="F",EH8="EXC"),"F","-"))))</f>
        <v>-</v>
      </c>
      <c r="EJ8" s="61" t="str">
        <f t="shared" si="41"/>
        <v/>
      </c>
      <c r="EK8" s="61" t="str">
        <f t="shared" si="42"/>
        <v/>
      </c>
      <c r="EL8" s="65"/>
      <c r="EM8" s="47" t="str">
        <f>IF(AND($B$8="M",EL8="WA"),"M",IF(AND($B$8="M",EL8="EXC"),"M",IF(AND($B$8="F",EL8="WA"),"F",IF(AND($B$8="F",EL8="EXC"),"F","-"))))</f>
        <v>-</v>
      </c>
      <c r="EN8" s="68"/>
      <c r="EO8" s="66"/>
      <c r="EP8" s="48"/>
      <c r="EQ8" s="63"/>
      <c r="ER8" s="59" t="str">
        <f>IF(AND($B$8="M",EQ8="WA"),"M",IF(AND($B$8="M",EQ8="EXC"),"M",IF(AND($B$8="F",EQ8="WA"),"F",IF(AND($B$8="F",EQ8="EXC"),"F","-"))))</f>
        <v>-</v>
      </c>
      <c r="ES8" s="64" t="str">
        <f t="shared" si="43"/>
        <v/>
      </c>
      <c r="ET8" s="58"/>
      <c r="EU8" s="59" t="str">
        <f>IF(AND($B$8="M",ET8="WA"),"M",IF(AND($B$8="M",ET8="EXC"),"M",IF(AND($B$8="F",ET8="WA"),"F",IF(AND($B$8="F",ET8="EXC"),"F","-"))))</f>
        <v>-</v>
      </c>
      <c r="EV8" s="64" t="str">
        <f t="shared" si="44"/>
        <v/>
      </c>
      <c r="EW8" s="58"/>
      <c r="EX8" s="59" t="str">
        <f>IF(AND($B$8="M",EW8="WA"),"M",IF(AND($B$8="M",EW8="EXC"),"M",IF(AND($B$8="F",EW8="WA"),"F",IF(AND($B$8="F",EW8="EXC"),"F","-"))))</f>
        <v>-</v>
      </c>
      <c r="EY8" s="64" t="str">
        <f t="shared" si="45"/>
        <v/>
      </c>
      <c r="EZ8" s="58"/>
      <c r="FA8" s="59" t="str">
        <f>IF(AND($B$8="M",EZ8="WA"),"M",IF(AND($B$8="M",EZ8="EXC"),"M",IF(AND($B$8="F",EZ8="WA"),"F",IF(AND($B$8="F",EZ8="EXC"),"F","-"))))</f>
        <v>-</v>
      </c>
      <c r="FB8" s="64" t="str">
        <f t="shared" si="46"/>
        <v/>
      </c>
      <c r="FC8" s="58"/>
      <c r="FD8" s="59" t="str">
        <f>IF(AND($B$8="M",FC8="WA"),"M",IF(AND($B$8="M",FC8="EXC"),"M",IF(AND($B$8="F",FC8="WA"),"F",IF(AND($B$8="F",FC8="EXC"),"F","-"))))</f>
        <v>-</v>
      </c>
      <c r="FE8" s="61" t="str">
        <f t="shared" si="47"/>
        <v/>
      </c>
      <c r="FF8" s="58"/>
      <c r="FG8" s="59" t="str">
        <f>IF(AND($B$8="M",FF8="WA"),"M",IF(AND($B$8="M",FF8="EXC"),"M",IF(AND($B$8="F",FF8="WA"),"F",IF(AND($B$8="F",FF8="EXC"),"F","-"))))</f>
        <v>-</v>
      </c>
      <c r="FH8" s="61" t="str">
        <f t="shared" si="48"/>
        <v/>
      </c>
      <c r="FI8" s="61" t="str">
        <f t="shared" si="49"/>
        <v/>
      </c>
      <c r="FJ8" s="65"/>
      <c r="FK8" s="47" t="str">
        <f>IF(AND($B$8="M",FJ8="WA"),"M",IF(AND($B$8="M",FJ8="EXC"),"M",IF(AND($B$8="F",FJ8="WA"),"F",IF(AND($B$8="F",FJ8="EXC"),"F","-"))))</f>
        <v>-</v>
      </c>
      <c r="FL8" s="68"/>
      <c r="FM8" s="66"/>
      <c r="FN8" s="48"/>
      <c r="FO8" s="63"/>
      <c r="FP8" s="59" t="str">
        <f>IF(AND($B$8="M",FO8="WA"),"M",IF(AND($B$8="M",FO8="EXC"),"M",IF(AND($B$8="F",FO8="WA"),"F",IF(AND($B$8="F",FO8="EXC"),"F","-"))))</f>
        <v>-</v>
      </c>
      <c r="FQ8" s="64" t="str">
        <f t="shared" si="50"/>
        <v/>
      </c>
      <c r="FR8" s="58"/>
      <c r="FS8" s="59" t="str">
        <f>IF(AND($B$8="M",FR8="WA"),"M",IF(AND($B$8="M",FR8="EXC"),"M",IF(AND($B$8="F",FR8="WA"),"F",IF(AND($B$8="F",FR8="EXC"),"F","-"))))</f>
        <v>-</v>
      </c>
      <c r="FT8" s="64" t="str">
        <f t="shared" si="51"/>
        <v/>
      </c>
      <c r="FU8" s="58"/>
      <c r="FV8" s="59" t="str">
        <f>IF(AND($B$8="M",FU8="WA"),"M",IF(AND($B$8="M",FU8="EXC"),"M",IF(AND($B$8="F",FU8="WA"),"F",IF(AND($B$8="F",FU8="EXC"),"F","-"))))</f>
        <v>-</v>
      </c>
      <c r="FW8" s="64" t="str">
        <f t="shared" si="52"/>
        <v/>
      </c>
      <c r="FX8" s="58"/>
      <c r="FY8" s="59" t="str">
        <f>IF(AND($B$8="M",FX8="WA"),"M",IF(AND($B$8="M",FX8="EXC"),"M",IF(AND($B$8="F",FX8="WA"),"F",IF(AND($B$8="F",FX8="EXC"),"F","-"))))</f>
        <v>-</v>
      </c>
      <c r="FZ8" s="64" t="str">
        <f t="shared" si="53"/>
        <v/>
      </c>
      <c r="GA8" s="58"/>
      <c r="GB8" s="59" t="str">
        <f>IF(AND($B$8="M",GA8="WA"),"M",IF(AND($B$8="M",GA8="EXC"),"M",IF(AND($B$8="F",GA8="WA"),"F",IF(AND($B$8="F",GA8="EXC"),"F","-"))))</f>
        <v>-</v>
      </c>
      <c r="GC8" s="61" t="str">
        <f t="shared" si="54"/>
        <v/>
      </c>
      <c r="GD8" s="58"/>
      <c r="GE8" s="59" t="str">
        <f>IF(AND($B$8="M",GD8="WA"),"M",IF(AND($B$8="M",GD8="EXC"),"M",IF(AND($B$8="F",GD8="WA"),"F",IF(AND($B$8="F",GD8="EXC"),"F","-"))))</f>
        <v>-</v>
      </c>
      <c r="GF8" s="61" t="str">
        <f t="shared" si="55"/>
        <v/>
      </c>
      <c r="GG8" s="61" t="str">
        <f t="shared" si="56"/>
        <v/>
      </c>
      <c r="GH8" s="65"/>
      <c r="GI8" s="47" t="str">
        <f>IF(AND($B$8="M",GH8="WA"),"M",IF(AND($B$8="M",GH8="EXC"),"M",IF(AND($B$8="F",GH8="WA"),"F",IF(AND($B$8="F",GH8="EXC"),"F","-"))))</f>
        <v>-</v>
      </c>
      <c r="GJ8" s="68"/>
      <c r="GK8" s="66"/>
      <c r="GL8" s="48"/>
      <c r="GM8" s="63"/>
      <c r="GN8" s="59" t="str">
        <f>IF(AND($B$8="M",GM8="WA"),"M",IF(AND($B$8="M",GM8="EXC"),"M",IF(AND($B$8="F",GM8="WA"),"F",IF(AND($B$8="F",GM8="EXC"),"F","-"))))</f>
        <v>-</v>
      </c>
      <c r="GO8" s="64" t="str">
        <f t="shared" si="57"/>
        <v/>
      </c>
      <c r="GP8" s="58"/>
      <c r="GQ8" s="59" t="str">
        <f>IF(AND($B$8="M",GP8="WA"),"M",IF(AND($B$8="M",GP8="EXC"),"M",IF(AND($B$8="F",GP8="WA"),"F",IF(AND($B$8="F",GP8="EXC"),"F","-"))))</f>
        <v>-</v>
      </c>
      <c r="GR8" s="64" t="str">
        <f t="shared" si="58"/>
        <v/>
      </c>
      <c r="GS8" s="58"/>
      <c r="GT8" s="59" t="str">
        <f>IF(AND($B$8="M",GS8="WA"),"M",IF(AND($B$8="M",GS8="EXC"),"M",IF(AND($B$8="F",GS8="WA"),"F",IF(AND($B$8="F",GS8="EXC"),"F","-"))))</f>
        <v>-</v>
      </c>
      <c r="GU8" s="64" t="str">
        <f t="shared" si="59"/>
        <v/>
      </c>
      <c r="GV8" s="61" t="str">
        <f t="shared" si="60"/>
        <v/>
      </c>
      <c r="GW8" s="65"/>
      <c r="GX8" s="47" t="str">
        <f>IF(AND($B$8="M",GW8="WA"),"M",IF(AND($B$8="M",GW8="EXC"),"M",IF(AND($B$8="F",GW8="WA"),"F",IF(AND($B$8="F",GW8="EXC"),"F","-"))))</f>
        <v>-</v>
      </c>
      <c r="GY8" s="68"/>
      <c r="GZ8" s="66"/>
      <c r="HA8" s="48"/>
      <c r="HB8" s="63"/>
      <c r="HC8" s="59" t="str">
        <f>IF(AND($B$8="M",HB8="WA"),"M",IF(AND($B$8="M",HB8="EXC"),"M",IF(AND($B$8="F",HB8="WA"),"F",IF(AND($B$8="F",HB8="EXC"),"F","-"))))</f>
        <v>-</v>
      </c>
      <c r="HD8" s="64" t="str">
        <f t="shared" si="61"/>
        <v/>
      </c>
      <c r="HE8" s="58"/>
      <c r="HF8" s="59" t="str">
        <f>IF(AND($B$8="M",HE8="WA"),"M",IF(AND($B$8="M",HE8="EXC"),"M",IF(AND($B$8="F",HE8="WA"),"F",IF(AND($B$8="F",HE8="EXC"),"F","-"))))</f>
        <v>-</v>
      </c>
      <c r="HG8" s="64" t="str">
        <f t="shared" si="62"/>
        <v/>
      </c>
      <c r="HH8" s="58"/>
      <c r="HI8" s="59" t="str">
        <f>IF(AND($B$8="M",HH8="WA"),"M",IF(AND($B$8="M",HH8="EXC"),"M",IF(AND($B$8="F",HH8="WA"),"F",IF(AND($B$8="F",HH8="EXC"),"F","-"))))</f>
        <v>-</v>
      </c>
      <c r="HJ8" s="64" t="str">
        <f t="shared" si="63"/>
        <v/>
      </c>
      <c r="HK8" s="61" t="str">
        <f t="shared" si="64"/>
        <v/>
      </c>
      <c r="HL8" s="65"/>
      <c r="HM8" s="47" t="str">
        <f>IF(AND($B$8="M",HL8="WA"),"M",IF(AND($B$8="M",HL8="EXC"),"M",IF(AND($B$8="F",HL8="WA"),"F",IF(AND($B$8="F",HL8="EXC"),"F","-"))))</f>
        <v>-</v>
      </c>
      <c r="HN8" s="13"/>
      <c r="HO8" s="14"/>
      <c r="HP8" s="15"/>
      <c r="HQ8" s="54"/>
      <c r="HR8" s="55" t="str">
        <f>IF(AND($B$8="M",HQ8="WA"),"M",IF(AND($B$8="M",HQ8="EXC"),"M",IF(AND($B$8="F",HQ8="WA"),"F",IF(AND($B$8="F",HQ8="EXC"),"F","-"))))</f>
        <v>-</v>
      </c>
      <c r="HS8" s="56" t="str">
        <f t="shared" si="65"/>
        <v/>
      </c>
      <c r="HT8" s="54"/>
      <c r="HU8" s="55" t="str">
        <f>IF(AND($B$8="M",HT8="WA"),"M",IF(AND($B$8="M",HT8="EXC"),"M",IF(AND($B$8="F",HT8="WA"),"F",IF(AND($B$8="F",HT8="EXC"),"F","-"))))</f>
        <v>-</v>
      </c>
      <c r="HV8" s="56" t="str">
        <f t="shared" si="66"/>
        <v/>
      </c>
      <c r="HW8" s="54"/>
      <c r="HX8" s="55" t="str">
        <f>IF(AND($B$8="M",HW8="WA"),"M",IF(AND($B$8="M",HW8="EXC"),"M",IF(AND($B$8="F",HW8="WA"),"F",IF(AND($B$8="F",HW8="EXC"),"F","-"))))</f>
        <v>-</v>
      </c>
      <c r="HY8" s="56" t="str">
        <f t="shared" si="67"/>
        <v/>
      </c>
      <c r="HZ8" s="54" t="str">
        <f t="shared" si="68"/>
        <v/>
      </c>
      <c r="IA8" s="67"/>
      <c r="IB8" s="55" t="str">
        <f>IF(AND($B$8="M",IA8="WA"),"M",IF(AND($B$8="M",IA8="EXC"),"M",IF(AND($B$8="F",IA8="WA"),"F",IF(AND($B$8="F",IA8="EXC"),"F","-"))))</f>
        <v>-</v>
      </c>
      <c r="IC8" s="17"/>
    </row>
    <row r="9">
      <c r="A9" s="40"/>
      <c r="B9" s="41"/>
      <c r="C9" s="58"/>
      <c r="D9" s="59" t="str">
        <f>IF(AND($B$9="M",C9="WA"),"M",IF(AND($B$9="M",C9="EXC"),"M",IF(AND($B$9="F",C9="WA"),"F",IF(AND($B$9="F",C9="EXC"),"F","-"))))</f>
        <v>-</v>
      </c>
      <c r="E9" s="60" t="str">
        <f t="shared" si="1"/>
        <v/>
      </c>
      <c r="F9" s="58"/>
      <c r="G9" s="59" t="str">
        <f>IF(AND($B$9="M",F9="WA"),"M",IF(AND($B$9="M",F9="EXC"),"M",IF(AND($B$9="F",F9="WA"),"F",IF(AND($B$9="F",F9="EXC"),"F","-"))))</f>
        <v>-</v>
      </c>
      <c r="H9" s="60" t="str">
        <f t="shared" si="2"/>
        <v/>
      </c>
      <c r="I9" s="58"/>
      <c r="J9" s="59" t="str">
        <f>IF(AND($B$9="M",I9="WA"),"M",IF(AND($B$9="M",I9="EXC"),"M",IF(AND($B$9="F",I9="WA"),"F",IF(AND($B$9="F",I9="EXC"),"F","-"))))</f>
        <v>-</v>
      </c>
      <c r="K9" s="60" t="str">
        <f t="shared" si="3"/>
        <v/>
      </c>
      <c r="L9" s="58"/>
      <c r="M9" s="59" t="str">
        <f>IF(AND($B$9="M",L9="WA"),"M",IF(AND($B$9="M",L9="EXC"),"M",IF(AND($B$9="F",L9="WA"),"F",IF(AND($B$9="F",L9="EXC"),"F","-"))))</f>
        <v>-</v>
      </c>
      <c r="N9" s="60" t="str">
        <f t="shared" si="4"/>
        <v/>
      </c>
      <c r="O9" s="58"/>
      <c r="P9" s="59" t="str">
        <f>IF(AND($B$9="M",O9="WA"),"M",IF(AND($B$9="M",O9="EXC"),"M",IF(AND($B$9="F",O9="WA"),"F",IF(AND($B$9="F",O9="EXC"),"F","-"))))</f>
        <v>-</v>
      </c>
      <c r="Q9" s="60" t="str">
        <f t="shared" si="5"/>
        <v/>
      </c>
      <c r="R9" s="58"/>
      <c r="S9" s="59" t="str">
        <f>IF(AND($B$9="M",R9="WA"),"M",IF(AND($B$9="M",R9="EXC"),"M",IF(AND($B$9="F",R9="WA"),"F",IF(AND($B$9="F",R9="EXC"),"F","-"))))</f>
        <v>-</v>
      </c>
      <c r="T9" s="60" t="str">
        <f t="shared" si="6"/>
        <v/>
      </c>
      <c r="U9" s="61" t="str">
        <f t="shared" si="7"/>
        <v/>
      </c>
      <c r="V9" s="62"/>
      <c r="W9" s="47" t="str">
        <f>IF(AND($B$9="M",V9="WA"),"M",IF(AND($B$9="M",V9="EXC"),"M",IF(AND($B$9="F",V9="WA"),"F",IF(AND($B$9="F",V9="EXC"),"F","-"))))</f>
        <v>-</v>
      </c>
      <c r="X9" s="48"/>
      <c r="Y9" s="49"/>
      <c r="Z9" s="48"/>
      <c r="AA9" s="63"/>
      <c r="AB9" s="59" t="str">
        <f>IF(AND($B$9="M",AA9="WA"),"M",IF(AND($B$9="M",AA9="EXC"),"M",IF(AND($B$9="F",AA9="WA"),"F",IF(AND($B$9="F",AA9="EXC"),"F","-"))))</f>
        <v>-</v>
      </c>
      <c r="AC9" s="64" t="str">
        <f t="shared" si="8"/>
        <v/>
      </c>
      <c r="AD9" s="58"/>
      <c r="AE9" s="59" t="str">
        <f>IF(AND($B$9="M",AD9="WA"),"M",IF(AND($B$9="M",AD9="EXC"),"M",IF(AND($B$9="F",AD9="WA"),"F",IF(AND($B$9="F",AD9="EXC"),"F","-"))))</f>
        <v>-</v>
      </c>
      <c r="AF9" s="64" t="str">
        <f t="shared" si="9"/>
        <v/>
      </c>
      <c r="AG9" s="58"/>
      <c r="AH9" s="59" t="str">
        <f>IF(AND($B$9="M",AG9="WA"),"M",IF(AND($B$9="M",AG9="EXC"),"M",IF(AND($B$9="F",AG9="WA"),"F",IF(AND($B$9="F",AG9="EXC"),"F","-"))))</f>
        <v>-</v>
      </c>
      <c r="AI9" s="64" t="str">
        <f t="shared" si="10"/>
        <v/>
      </c>
      <c r="AJ9" s="58"/>
      <c r="AK9" s="59" t="str">
        <f>IF(AND($B$9="M",AJ9="WA"),"M",IF(AND($B$9="M",AJ9="EXC"),"M",IF(AND($B$9="F",AJ9="WA"),"F",IF(AND($B$9="F",AJ9="EXC"),"F","-"))))</f>
        <v>-</v>
      </c>
      <c r="AL9" s="64" t="str">
        <f t="shared" si="11"/>
        <v/>
      </c>
      <c r="AM9" s="58"/>
      <c r="AN9" s="59" t="str">
        <f>IF(AND($B$9="M",AM9="WA"),"M",IF(AND($B$9="M",AM9="EXC"),"M",IF(AND($B$9="F",AM9="WA"),"F",IF(AND($B$9="F",AM9="EXC"),"F","-"))))</f>
        <v>-</v>
      </c>
      <c r="AO9" s="61" t="str">
        <f t="shared" si="12"/>
        <v/>
      </c>
      <c r="AP9" s="58"/>
      <c r="AQ9" s="59" t="str">
        <f>IF(AND($B$9="M",AP9="WA"),"M",IF(AND($B$9="M",AP9="EXC"),"M",IF(AND($B$9="F",AP9="WA"),"F",IF(AND($B$9="F",AP9="EXC"),"F","-"))))</f>
        <v>-</v>
      </c>
      <c r="AR9" s="61" t="str">
        <f t="shared" si="13"/>
        <v/>
      </c>
      <c r="AS9" s="61" t="str">
        <f t="shared" si="14"/>
        <v/>
      </c>
      <c r="AT9" s="65"/>
      <c r="AU9" s="47" t="str">
        <f>IF(AND($B$9="M",AT9="WA"),"M",IF(AND($B$9="M",AT9="EXC"),"M",IF(AND($B$9="F",AT9="WA"),"F",IF(AND($B$9="F",AT9="EXC"),"F","-"))))</f>
        <v>-</v>
      </c>
      <c r="AV9" s="68"/>
      <c r="AW9" s="66"/>
      <c r="AX9" s="48"/>
      <c r="AY9" s="63"/>
      <c r="AZ9" s="59" t="str">
        <f>IF(AND($B$9="M",AY9="WA"),"M",IF(AND($B$9="M",AY9="EXC"),"M",IF(AND($B$9="F",AY9="WA"),"F",IF(AND($B$9="F",AY9="EXC"),"F","-"))))</f>
        <v>-</v>
      </c>
      <c r="BA9" s="64" t="str">
        <f t="shared" si="15"/>
        <v/>
      </c>
      <c r="BB9" s="58"/>
      <c r="BC9" s="59" t="str">
        <f>IF(AND($B$9="M",BB9="WA"),"M",IF(AND($B$9="M",BB9="EXC"),"M",IF(AND($B$9="F",BB9="WA"),"F",IF(AND($B$9="F",BB9="EXC"),"F","-"))))</f>
        <v>-</v>
      </c>
      <c r="BD9" s="64" t="str">
        <f t="shared" si="16"/>
        <v/>
      </c>
      <c r="BE9" s="58"/>
      <c r="BF9" s="59" t="str">
        <f>IF(AND($B$9="M",BE9="WA"),"M",IF(AND($B$9="M",BE9="EXC"),"M",IF(AND($B$9="F",BE9="WA"),"F",IF(AND($B$9="F",BE9="EXC"),"F","-"))))</f>
        <v>-</v>
      </c>
      <c r="BG9" s="64" t="str">
        <f t="shared" si="17"/>
        <v/>
      </c>
      <c r="BH9" s="58"/>
      <c r="BI9" s="59" t="str">
        <f>IF(AND($B$9="M",BH9="WA"),"M",IF(AND($B$9="M",BH9="EXC"),"M",IF(AND($B$9="F",BH9="WA"),"F",IF(AND($B$9="F",BH9="EXC"),"F","-"))))</f>
        <v>-</v>
      </c>
      <c r="BJ9" s="64" t="str">
        <f t="shared" si="18"/>
        <v/>
      </c>
      <c r="BK9" s="58"/>
      <c r="BL9" s="59" t="str">
        <f>IF(AND($B$9="M",BK9="WA"),"M",IF(AND($B$9="M",BK9="EXC"),"M",IF(AND($B$9="F",BK9="WA"),"F",IF(AND($B$9="F",BK9="EXC"),"F","-"))))</f>
        <v>-</v>
      </c>
      <c r="BM9" s="61" t="str">
        <f t="shared" si="19"/>
        <v/>
      </c>
      <c r="BN9" s="58"/>
      <c r="BO9" s="59" t="str">
        <f>IF(AND($B$9="M",BN9="WA"),"M",IF(AND($B$9="M",BN9="EXC"),"M",IF(AND($B$9="F",BN9="WA"),"F",IF(AND($B$9="F",BN9="EXC"),"F","-"))))</f>
        <v>-</v>
      </c>
      <c r="BP9" s="61" t="str">
        <f t="shared" si="20"/>
        <v/>
      </c>
      <c r="BQ9" s="61" t="str">
        <f t="shared" si="21"/>
        <v/>
      </c>
      <c r="BR9" s="65"/>
      <c r="BS9" s="47" t="str">
        <f>IF(AND($B$9="M",BR9="WA"),"M",IF(AND($B$9="M",BR9="EXC"),"M",IF(AND($B$9="F",BR9="WA"),"F",IF(AND($B$9="F",BR9="EXC"),"F","-"))))</f>
        <v>-</v>
      </c>
      <c r="BT9" s="68"/>
      <c r="BU9" s="66"/>
      <c r="BV9" s="48"/>
      <c r="BW9" s="63"/>
      <c r="BX9" s="59" t="str">
        <f>IF(AND($B$9="M",BW9="WA"),"M",IF(AND($B$9="M",BW9="EXC"),"M",IF(AND($B$9="F",BW9="WA"),"F",IF(AND($B$9="F",BW9="EXC"),"F","-"))))</f>
        <v>-</v>
      </c>
      <c r="BY9" s="64" t="str">
        <f t="shared" si="22"/>
        <v/>
      </c>
      <c r="BZ9" s="58"/>
      <c r="CA9" s="59" t="str">
        <f>IF(AND($B$9="M",BZ9="WA"),"M",IF(AND($B$9="M",BZ9="EXC"),"M",IF(AND($B$9="F",BZ9="WA"),"F",IF(AND($B$9="F",BZ9="EXC"),"F","-"))))</f>
        <v>-</v>
      </c>
      <c r="CB9" s="64" t="str">
        <f t="shared" si="23"/>
        <v/>
      </c>
      <c r="CC9" s="58"/>
      <c r="CD9" s="59" t="str">
        <f>IF(AND($B$9="M",CC9="WA"),"M",IF(AND($B$9="M",CC9="EXC"),"M",IF(AND($B$9="F",CC9="WA"),"F",IF(AND($B$9="F",CC9="EXC"),"F","-"))))</f>
        <v>-</v>
      </c>
      <c r="CE9" s="64" t="str">
        <f t="shared" si="24"/>
        <v/>
      </c>
      <c r="CF9" s="58"/>
      <c r="CG9" s="59" t="str">
        <f>IF(AND($B$9="M",CF9="WA"),"M",IF(AND($B$9="M",CF9="EXC"),"M",IF(AND($B$9="F",CF9="WA"),"F",IF(AND($B$9="F",CF9="EXC"),"F","-"))))</f>
        <v>-</v>
      </c>
      <c r="CH9" s="64" t="str">
        <f t="shared" si="25"/>
        <v/>
      </c>
      <c r="CI9" s="58"/>
      <c r="CJ9" s="59" t="str">
        <f>IF(AND($B$9="M",CI9="WA"),"M",IF(AND($B$9="M",CI9="EXC"),"M",IF(AND($B$9="F",CI9="WA"),"F",IF(AND($B$9="F",CI9="EXC"),"F","-"))))</f>
        <v>-</v>
      </c>
      <c r="CK9" s="61" t="str">
        <f t="shared" si="26"/>
        <v/>
      </c>
      <c r="CL9" s="58"/>
      <c r="CM9" s="59" t="str">
        <f>IF(AND($B$9="M",CL9="WA"),"M",IF(AND($B$9="M",CL9="EXC"),"M",IF(AND($B$9="F",CL9="WA"),"F",IF(AND($B$9="F",CL9="EXC"),"F","-"))))</f>
        <v>-</v>
      </c>
      <c r="CN9" s="61" t="str">
        <f t="shared" si="27"/>
        <v/>
      </c>
      <c r="CO9" s="61" t="str">
        <f t="shared" si="28"/>
        <v/>
      </c>
      <c r="CP9" s="65"/>
      <c r="CQ9" s="47" t="str">
        <f>IF(AND($B$9="M",CP9="WA"),"M",IF(AND($B$9="M",CP9="EXC"),"M",IF(AND($B$9="F",CP9="WA"),"F",IF(AND($B$9="F",CP9="EXC"),"F","-"))))</f>
        <v>-</v>
      </c>
      <c r="CR9" s="68"/>
      <c r="CS9" s="66"/>
      <c r="CT9" s="48"/>
      <c r="CU9" s="63"/>
      <c r="CV9" s="59" t="str">
        <f>IF(AND($B$9="M",CU9="WA"),"M",IF(AND($B$9="M",CU9="EXC"),"M",IF(AND($B$9="F",CU9="WA"),"F",IF(AND($B$9="F",CU9="EXC"),"F","-"))))</f>
        <v>-</v>
      </c>
      <c r="CW9" s="64" t="str">
        <f t="shared" si="29"/>
        <v/>
      </c>
      <c r="CX9" s="58"/>
      <c r="CY9" s="59" t="str">
        <f>IF(AND($B$9="M",CX9="WA"),"M",IF(AND($B$9="M",CX9="EXC"),"M",IF(AND($B$9="F",CX9="WA"),"F",IF(AND($B$9="F",CX9="EXC"),"F","-"))))</f>
        <v>-</v>
      </c>
      <c r="CZ9" s="64" t="str">
        <f t="shared" si="30"/>
        <v/>
      </c>
      <c r="DA9" s="58"/>
      <c r="DB9" s="59" t="str">
        <f>IF(AND($B$9="M",DA9="WA"),"M",IF(AND($B$9="M",DA9="EXC"),"M",IF(AND($B$9="F",DA9="WA"),"F",IF(AND($B$9="F",DA9="EXC"),"F","-"))))</f>
        <v>-</v>
      </c>
      <c r="DC9" s="64" t="str">
        <f t="shared" si="31"/>
        <v/>
      </c>
      <c r="DD9" s="58"/>
      <c r="DE9" s="59" t="str">
        <f>IF(AND($B$9="M",DD9="WA"),"M",IF(AND($B$9="M",DD9="EXC"),"M",IF(AND($B$9="F",DD9="WA"),"F",IF(AND($B$9="F",DD9="EXC"),"F","-"))))</f>
        <v>-</v>
      </c>
      <c r="DF9" s="64" t="str">
        <f t="shared" si="32"/>
        <v/>
      </c>
      <c r="DG9" s="58"/>
      <c r="DH9" s="59" t="str">
        <f>IF(AND($B$9="M",DG9="WA"),"M",IF(AND($B$9="M",DG9="EXC"),"M",IF(AND($B$9="F",DG9="WA"),"F",IF(AND($B$9="F",DG9="EXC"),"F","-"))))</f>
        <v>-</v>
      </c>
      <c r="DI9" s="61" t="str">
        <f t="shared" si="33"/>
        <v/>
      </c>
      <c r="DJ9" s="58"/>
      <c r="DK9" s="59" t="str">
        <f>IF(AND($B$9="M",DJ9="WA"),"M",IF(AND($B$9="M",DJ9="EXC"),"M",IF(AND($B$9="F",DJ9="WA"),"F",IF(AND($B$9="F",DJ9="EXC"),"F","-"))))</f>
        <v>-</v>
      </c>
      <c r="DL9" s="61" t="str">
        <f t="shared" si="34"/>
        <v/>
      </c>
      <c r="DM9" s="61" t="str">
        <f t="shared" si="35"/>
        <v/>
      </c>
      <c r="DN9" s="65"/>
      <c r="DO9" s="47" t="str">
        <f>IF(AND($B$9="M",DN9="WA"),"M",IF(AND($B$9="M",DN9="EXC"),"M",IF(AND($B$9="F",DN9="WA"),"F",IF(AND($B$9="F",DN9="EXC"),"F","-"))))</f>
        <v>-</v>
      </c>
      <c r="DP9" s="68"/>
      <c r="DQ9" s="66"/>
      <c r="DR9" s="48"/>
      <c r="DS9" s="63"/>
      <c r="DT9" s="59" t="str">
        <f>IF(AND($B$9="M",DS9="WA"),"M",IF(AND($B$9="M",DS9="EXC"),"M",IF(AND($B$9="F",DS9="WA"),"F",IF(AND($B$9="F",DS9="EXC"),"F","-"))))</f>
        <v>-</v>
      </c>
      <c r="DU9" s="64" t="str">
        <f t="shared" si="36"/>
        <v/>
      </c>
      <c r="DV9" s="58"/>
      <c r="DW9" s="59" t="str">
        <f>IF(AND($B$9="M",DV9="WA"),"M",IF(AND($B$9="M",DV9="EXC"),"M",IF(AND($B$9="F",DV9="WA"),"F",IF(AND($B$9="F",DV9="EXC"),"F","-"))))</f>
        <v>-</v>
      </c>
      <c r="DX9" s="64" t="str">
        <f t="shared" si="37"/>
        <v/>
      </c>
      <c r="DY9" s="58"/>
      <c r="DZ9" s="59" t="str">
        <f>IF(AND($B$9="M",DY9="WA"),"M",IF(AND($B$9="M",DY9="EXC"),"M",IF(AND($B$9="F",DY9="WA"),"F",IF(AND($B$9="F",DY9="EXC"),"F","-"))))</f>
        <v>-</v>
      </c>
      <c r="EA9" s="64" t="str">
        <f t="shared" si="38"/>
        <v/>
      </c>
      <c r="EB9" s="58"/>
      <c r="EC9" s="59" t="str">
        <f>IF(AND($B$9="M",EB9="WA"),"M",IF(AND($B$9="M",EB9="EXC"),"M",IF(AND($B$9="F",EB9="WA"),"F",IF(AND($B$9="F",EB9="EXC"),"F","-"))))</f>
        <v>-</v>
      </c>
      <c r="ED9" s="64" t="str">
        <f t="shared" si="39"/>
        <v/>
      </c>
      <c r="EE9" s="58"/>
      <c r="EF9" s="59" t="str">
        <f>IF(AND($B$9="M",EE9="WA"),"M",IF(AND($B$9="M",EE9="EXC"),"M",IF(AND($B$9="F",EE9="WA"),"F",IF(AND($B$9="F",EE9="EXC"),"F","-"))))</f>
        <v>-</v>
      </c>
      <c r="EG9" s="61" t="str">
        <f t="shared" si="40"/>
        <v/>
      </c>
      <c r="EH9" s="58"/>
      <c r="EI9" s="59" t="str">
        <f>IF(AND($B$9="M",EH9="WA"),"M",IF(AND($B$9="M",EH9="EXC"),"M",IF(AND($B$9="F",EH9="WA"),"F",IF(AND($B$9="F",EH9="EXC"),"F","-"))))</f>
        <v>-</v>
      </c>
      <c r="EJ9" s="61" t="str">
        <f t="shared" si="41"/>
        <v/>
      </c>
      <c r="EK9" s="61" t="str">
        <f t="shared" si="42"/>
        <v/>
      </c>
      <c r="EL9" s="65"/>
      <c r="EM9" s="47" t="str">
        <f>IF(AND($B$9="M",EL9="WA"),"M",IF(AND($B$9="M",EL9="EXC"),"M",IF(AND($B$9="F",EL9="WA"),"F",IF(AND($B$9="F",EL9="EXC"),"F","-"))))</f>
        <v>-</v>
      </c>
      <c r="EN9" s="68"/>
      <c r="EO9" s="66"/>
      <c r="EP9" s="48"/>
      <c r="EQ9" s="63"/>
      <c r="ER9" s="59" t="str">
        <f>IF(AND($B$9="M",EQ9="WA"),"M",IF(AND($B$9="M",EQ9="EXC"),"M",IF(AND($B$9="F",EQ9="WA"),"F",IF(AND($B$9="F",EQ9="EXC"),"F","-"))))</f>
        <v>-</v>
      </c>
      <c r="ES9" s="64" t="str">
        <f t="shared" si="43"/>
        <v/>
      </c>
      <c r="ET9" s="58"/>
      <c r="EU9" s="59" t="str">
        <f>IF(AND($B$9="M",ET9="WA"),"M",IF(AND($B$9="M",ET9="EXC"),"M",IF(AND($B$9="F",ET9="WA"),"F",IF(AND($B$9="F",ET9="EXC"),"F","-"))))</f>
        <v>-</v>
      </c>
      <c r="EV9" s="64" t="str">
        <f t="shared" si="44"/>
        <v/>
      </c>
      <c r="EW9" s="58"/>
      <c r="EX9" s="59" t="str">
        <f>IF(AND($B$9="M",EW9="WA"),"M",IF(AND($B$9="M",EW9="EXC"),"M",IF(AND($B$9="F",EW9="WA"),"F",IF(AND($B$9="F",EW9="EXC"),"F","-"))))</f>
        <v>-</v>
      </c>
      <c r="EY9" s="64" t="str">
        <f t="shared" si="45"/>
        <v/>
      </c>
      <c r="EZ9" s="58"/>
      <c r="FA9" s="59" t="str">
        <f>IF(AND($B$9="M",EZ9="WA"),"M",IF(AND($B$9="M",EZ9="EXC"),"M",IF(AND($B$9="F",EZ9="WA"),"F",IF(AND($B$9="F",EZ9="EXC"),"F","-"))))</f>
        <v>-</v>
      </c>
      <c r="FB9" s="64" t="str">
        <f t="shared" si="46"/>
        <v/>
      </c>
      <c r="FC9" s="58"/>
      <c r="FD9" s="59" t="str">
        <f>IF(AND($B$9="M",FC9="WA"),"M",IF(AND($B$9="M",FC9="EXC"),"M",IF(AND($B$9="F",FC9="WA"),"F",IF(AND($B$9="F",FC9="EXC"),"F","-"))))</f>
        <v>-</v>
      </c>
      <c r="FE9" s="61" t="str">
        <f t="shared" si="47"/>
        <v/>
      </c>
      <c r="FF9" s="58"/>
      <c r="FG9" s="59" t="str">
        <f>IF(AND($B$9="M",FF9="WA"),"M",IF(AND($B$9="M",FF9="EXC"),"M",IF(AND($B$9="F",FF9="WA"),"F",IF(AND($B$9="F",FF9="EXC"),"F","-"))))</f>
        <v>-</v>
      </c>
      <c r="FH9" s="61" t="str">
        <f t="shared" si="48"/>
        <v/>
      </c>
      <c r="FI9" s="61" t="str">
        <f t="shared" si="49"/>
        <v/>
      </c>
      <c r="FJ9" s="65"/>
      <c r="FK9" s="47" t="str">
        <f>IF(AND($B$9="M",FJ9="WA"),"M",IF(AND($B$9="M",FJ9="EXC"),"M",IF(AND($B$9="F",FJ9="WA"),"F",IF(AND($B$9="F",FJ9="EXC"),"F","-"))))</f>
        <v>-</v>
      </c>
      <c r="FL9" s="68"/>
      <c r="FM9" s="66"/>
      <c r="FN9" s="48"/>
      <c r="FO9" s="63"/>
      <c r="FP9" s="59" t="str">
        <f>IF(AND($B$9="M",FO9="WA"),"M",IF(AND($B$9="M",FO9="EXC"),"M",IF(AND($B$9="F",FO9="WA"),"F",IF(AND($B$9="F",FO9="EXC"),"F","-"))))</f>
        <v>-</v>
      </c>
      <c r="FQ9" s="64" t="str">
        <f t="shared" si="50"/>
        <v/>
      </c>
      <c r="FR9" s="58"/>
      <c r="FS9" s="59" t="str">
        <f>IF(AND($B$9="M",FR9="WA"),"M",IF(AND($B$9="M",FR9="EXC"),"M",IF(AND($B$9="F",FR9="WA"),"F",IF(AND($B$9="F",FR9="EXC"),"F","-"))))</f>
        <v>-</v>
      </c>
      <c r="FT9" s="64" t="str">
        <f t="shared" si="51"/>
        <v/>
      </c>
      <c r="FU9" s="58"/>
      <c r="FV9" s="59" t="str">
        <f>IF(AND($B$9="M",FU9="WA"),"M",IF(AND($B$9="M",FU9="EXC"),"M",IF(AND($B$9="F",FU9="WA"),"F",IF(AND($B$9="F",FU9="EXC"),"F","-"))))</f>
        <v>-</v>
      </c>
      <c r="FW9" s="64" t="str">
        <f t="shared" si="52"/>
        <v/>
      </c>
      <c r="FX9" s="58"/>
      <c r="FY9" s="59" t="str">
        <f>IF(AND($B$9="M",FX9="WA"),"M",IF(AND($B$9="M",FX9="EXC"),"M",IF(AND($B$9="F",FX9="WA"),"F",IF(AND($B$9="F",FX9="EXC"),"F","-"))))</f>
        <v>-</v>
      </c>
      <c r="FZ9" s="64" t="str">
        <f t="shared" si="53"/>
        <v/>
      </c>
      <c r="GA9" s="58"/>
      <c r="GB9" s="59" t="str">
        <f>IF(AND($B$9="M",GA9="WA"),"M",IF(AND($B$9="M",GA9="EXC"),"M",IF(AND($B$9="F",GA9="WA"),"F",IF(AND($B$9="F",GA9="EXC"),"F","-"))))</f>
        <v>-</v>
      </c>
      <c r="GC9" s="61" t="str">
        <f t="shared" si="54"/>
        <v/>
      </c>
      <c r="GD9" s="58"/>
      <c r="GE9" s="59" t="str">
        <f>IF(AND($B$9="M",GD9="WA"),"M",IF(AND($B$9="M",GD9="EXC"),"M",IF(AND($B$9="F",GD9="WA"),"F",IF(AND($B$9="F",GD9="EXC"),"F","-"))))</f>
        <v>-</v>
      </c>
      <c r="GF9" s="61" t="str">
        <f t="shared" si="55"/>
        <v/>
      </c>
      <c r="GG9" s="61" t="str">
        <f t="shared" si="56"/>
        <v/>
      </c>
      <c r="GH9" s="65"/>
      <c r="GI9" s="47" t="str">
        <f>IF(AND($B$9="M",GH9="WA"),"M",IF(AND($B$9="M",GH9="EXC"),"M",IF(AND($B$9="F",GH9="WA"),"F",IF(AND($B$9="F",GH9="EXC"),"F","-"))))</f>
        <v>-</v>
      </c>
      <c r="GJ9" s="68"/>
      <c r="GK9" s="66"/>
      <c r="GL9" s="48"/>
      <c r="GM9" s="63"/>
      <c r="GN9" s="59" t="str">
        <f>IF(AND($B$9="M",GM9="WA"),"M",IF(AND($B$9="M",GM9="EXC"),"M",IF(AND($B$9="F",GM9="WA"),"F",IF(AND($B$9="F",GM9="EXC"),"F","-"))))</f>
        <v>-</v>
      </c>
      <c r="GO9" s="64" t="str">
        <f t="shared" si="57"/>
        <v/>
      </c>
      <c r="GP9" s="58"/>
      <c r="GQ9" s="59" t="str">
        <f>IF(AND($B$9="M",GP9="WA"),"M",IF(AND($B$9="M",GP9="EXC"),"M",IF(AND($B$9="F",GP9="WA"),"F",IF(AND($B$9="F",GP9="EXC"),"F","-"))))</f>
        <v>-</v>
      </c>
      <c r="GR9" s="64" t="str">
        <f t="shared" si="58"/>
        <v/>
      </c>
      <c r="GS9" s="58"/>
      <c r="GT9" s="59" t="str">
        <f>IF(AND($B$9="M",GS9="WA"),"M",IF(AND($B$9="M",GS9="EXC"),"M",IF(AND($B$9="F",GS9="WA"),"F",IF(AND($B$9="F",GS9="EXC"),"F","-"))))</f>
        <v>-</v>
      </c>
      <c r="GU9" s="64" t="str">
        <f t="shared" si="59"/>
        <v/>
      </c>
      <c r="GV9" s="61" t="str">
        <f t="shared" si="60"/>
        <v/>
      </c>
      <c r="GW9" s="65"/>
      <c r="GX9" s="47" t="str">
        <f>IF(AND($B$9="M",GW9="WA"),"M",IF(AND($B$9="M",GW9="EXC"),"M",IF(AND($B$9="F",GW9="WA"),"F",IF(AND($B$9="F",GW9="EXC"),"F","-"))))</f>
        <v>-</v>
      </c>
      <c r="GY9" s="68"/>
      <c r="GZ9" s="66"/>
      <c r="HA9" s="48"/>
      <c r="HB9" s="63"/>
      <c r="HC9" s="59" t="str">
        <f>IF(AND($B$9="M",HB9="WA"),"M",IF(AND($B$9="M",HB9="EXC"),"M",IF(AND($B$9="F",HB9="WA"),"F",IF(AND($B$9="F",HB9="EXC"),"F","-"))))</f>
        <v>-</v>
      </c>
      <c r="HD9" s="64" t="str">
        <f t="shared" si="61"/>
        <v/>
      </c>
      <c r="HE9" s="58"/>
      <c r="HF9" s="59" t="str">
        <f>IF(AND($B$9="M",HE9="WA"),"M",IF(AND($B$9="M",HE9="EXC"),"M",IF(AND($B$9="F",HE9="WA"),"F",IF(AND($B$9="F",HE9="EXC"),"F","-"))))</f>
        <v>-</v>
      </c>
      <c r="HG9" s="64" t="str">
        <f t="shared" si="62"/>
        <v/>
      </c>
      <c r="HH9" s="58"/>
      <c r="HI9" s="59" t="str">
        <f>IF(AND($B$9="M",HH9="WA"),"M",IF(AND($B$9="M",HH9="EXC"),"M",IF(AND($B$9="F",HH9="WA"),"F",IF(AND($B$9="F",HH9="EXC"),"F","-"))))</f>
        <v>-</v>
      </c>
      <c r="HJ9" s="64" t="str">
        <f t="shared" si="63"/>
        <v/>
      </c>
      <c r="HK9" s="61" t="str">
        <f t="shared" si="64"/>
        <v/>
      </c>
      <c r="HL9" s="65"/>
      <c r="HM9" s="47" t="str">
        <f>IF(AND($B$9="M",HL9="WA"),"M",IF(AND($B$9="M",HL9="EXC"),"M",IF(AND($B$9="F",HL9="WA"),"F",IF(AND($B$9="F",HL9="EXC"),"F","-"))))</f>
        <v>-</v>
      </c>
      <c r="HN9" s="13"/>
      <c r="HO9" s="14"/>
      <c r="HP9" s="15"/>
      <c r="HQ9" s="54"/>
      <c r="HR9" s="55" t="str">
        <f>IF(AND($B$9="M",HQ9="WA"),"M",IF(AND($B$9="M",HQ9="EXC"),"M",IF(AND($B$9="F",HQ9="WA"),"F",IF(AND($B$9="F",HQ9="EXC"),"F","-"))))</f>
        <v>-</v>
      </c>
      <c r="HS9" s="56" t="str">
        <f t="shared" si="65"/>
        <v/>
      </c>
      <c r="HT9" s="54"/>
      <c r="HU9" s="55" t="str">
        <f>IF(AND($B$9="M",HT9="WA"),"M",IF(AND($B$9="M",HT9="EXC"),"M",IF(AND($B$9="F",HT9="WA"),"F",IF(AND($B$9="F",HT9="EXC"),"F","-"))))</f>
        <v>-</v>
      </c>
      <c r="HV9" s="56" t="str">
        <f t="shared" si="66"/>
        <v/>
      </c>
      <c r="HW9" s="54"/>
      <c r="HX9" s="55" t="str">
        <f>IF(AND($B$9="M",HW9="WA"),"M",IF(AND($B$9="M",HW9="EXC"),"M",IF(AND($B$9="F",HW9="WA"),"F",IF(AND($B$9="F",HW9="EXC"),"F","-"))))</f>
        <v>-</v>
      </c>
      <c r="HY9" s="56" t="str">
        <f t="shared" si="67"/>
        <v/>
      </c>
      <c r="HZ9" s="54" t="str">
        <f t="shared" si="68"/>
        <v/>
      </c>
      <c r="IA9" s="67"/>
      <c r="IB9" s="55" t="str">
        <f>IF(AND($B$9="M",IA9="WA"),"M",IF(AND($B$9="M",IA9="EXC"),"M",IF(AND($B$9="F",IA9="WA"),"F",IF(AND($B$9="F",IA9="EXC"),"F","-"))))</f>
        <v>-</v>
      </c>
      <c r="IC9" s="17"/>
    </row>
    <row r="10">
      <c r="A10" s="40"/>
      <c r="B10" s="41"/>
      <c r="C10" s="69"/>
      <c r="D10" s="59" t="str">
        <f>IF(AND($B$10="M",C10="WA"),"M",IF(AND($B$10="M",C10="EXC"),"M",IF(AND($B$10="F",C10="WA"),"F",IF(AND($B$10="F",C10="EXC"),"F","-"))))</f>
        <v>-</v>
      </c>
      <c r="E10" s="60" t="str">
        <f t="shared" si="1"/>
        <v/>
      </c>
      <c r="F10" s="69"/>
      <c r="G10" s="59" t="str">
        <f>IF(AND($B$10="M",F10="WA"),"M",IF(AND($B$10="M",F10="EXC"),"M",IF(AND($B$10="F",F10="WA"),"F",IF(AND($B$10="F",F10="EXC"),"F","-"))))</f>
        <v>-</v>
      </c>
      <c r="H10" s="60" t="str">
        <f t="shared" si="2"/>
        <v/>
      </c>
      <c r="I10" s="69"/>
      <c r="J10" s="59" t="str">
        <f>IF(AND($B$10="M",I10="WA"),"M",IF(AND($B$10="M",I10="EXC"),"M",IF(AND($B$10="F",I10="WA"),"F",IF(AND($B$10="F",I10="EXC"),"F","-"))))</f>
        <v>-</v>
      </c>
      <c r="K10" s="60" t="str">
        <f t="shared" si="3"/>
        <v/>
      </c>
      <c r="L10" s="69"/>
      <c r="M10" s="59" t="str">
        <f>IF(AND($B$10="M",L10="WA"),"M",IF(AND($B$10="M",L10="EXC"),"M",IF(AND($B$10="F",L10="WA"),"F",IF(AND($B$10="F",L10="EXC"),"F","-"))))</f>
        <v>-</v>
      </c>
      <c r="N10" s="60" t="str">
        <f t="shared" si="4"/>
        <v/>
      </c>
      <c r="O10" s="69"/>
      <c r="P10" s="59" t="str">
        <f>IF(AND($B$10="M",O10="WA"),"M",IF(AND($B$10="M",O10="EXC"),"M",IF(AND($B$10="F",O10="WA"),"F",IF(AND($B$10="F",O10="EXC"),"F","-"))))</f>
        <v>-</v>
      </c>
      <c r="Q10" s="60" t="str">
        <f t="shared" si="5"/>
        <v/>
      </c>
      <c r="R10" s="69"/>
      <c r="S10" s="59" t="str">
        <f>IF(AND($B$10="M",R10="WA"),"M",IF(AND($B$10="M",R10="EXC"),"M",IF(AND($B$10="F",R10="WA"),"F",IF(AND($B$10="F",R10="EXC"),"F","-"))))</f>
        <v>-</v>
      </c>
      <c r="T10" s="60" t="str">
        <f t="shared" si="6"/>
        <v/>
      </c>
      <c r="U10" s="61" t="str">
        <f t="shared" si="7"/>
        <v/>
      </c>
      <c r="V10" s="62"/>
      <c r="W10" s="47" t="str">
        <f>IF(AND($B$10="M",V10="WA"),"M",IF(AND($B$10="M",V10="EXC"),"M",IF(AND($B$10="F",V10="WA"),"F",IF(AND($B$10="F",V10="EXC"),"F","-"))))</f>
        <v>-</v>
      </c>
      <c r="X10" s="48"/>
      <c r="Y10" s="49"/>
      <c r="Z10" s="48"/>
      <c r="AA10" s="70"/>
      <c r="AB10" s="59" t="str">
        <f>IF(AND($B$10="M",AA10="WA"),"M",IF(AND($B$10="M",AA10="EXC"),"M",IF(AND($B$10="F",AA10="WA"),"F",IF(AND($B$10="F",AA10="EXC"),"F","-"))))</f>
        <v>-</v>
      </c>
      <c r="AC10" s="64" t="str">
        <f t="shared" si="8"/>
        <v/>
      </c>
      <c r="AD10" s="69"/>
      <c r="AE10" s="59" t="str">
        <f>IF(AND($B$10="M",AD10="WA"),"M",IF(AND($B$10="M",AD10="EXC"),"M",IF(AND($B$10="F",AD10="WA"),"F",IF(AND($B$10="F",AD10="EXC"),"F","-"))))</f>
        <v>-</v>
      </c>
      <c r="AF10" s="64" t="str">
        <f t="shared" si="9"/>
        <v/>
      </c>
      <c r="AG10" s="69"/>
      <c r="AH10" s="59" t="str">
        <f>IF(AND($B$10="M",AG10="WA"),"M",IF(AND($B$10="M",AG10="EXC"),"M",IF(AND($B$10="F",AG10="WA"),"F",IF(AND($B$10="F",AG10="EXC"),"F","-"))))</f>
        <v>-</v>
      </c>
      <c r="AI10" s="64" t="str">
        <f t="shared" si="10"/>
        <v/>
      </c>
      <c r="AJ10" s="69"/>
      <c r="AK10" s="59" t="str">
        <f>IF(AND($B$10="M",AJ10="WA"),"M",IF(AND($B$10="M",AJ10="EXC"),"M",IF(AND($B$10="F",AJ10="WA"),"F",IF(AND($B$10="F",AJ10="EXC"),"F","-"))))</f>
        <v>-</v>
      </c>
      <c r="AL10" s="64" t="str">
        <f t="shared" si="11"/>
        <v/>
      </c>
      <c r="AM10" s="69"/>
      <c r="AN10" s="59" t="str">
        <f>IF(AND($B$10="M",AM10="WA"),"M",IF(AND($B$10="M",AM10="EXC"),"M",IF(AND($B$10="F",AM10="WA"),"F",IF(AND($B$10="F",AM10="EXC"),"F","-"))))</f>
        <v>-</v>
      </c>
      <c r="AO10" s="61" t="str">
        <f t="shared" si="12"/>
        <v/>
      </c>
      <c r="AP10" s="69"/>
      <c r="AQ10" s="59" t="str">
        <f>IF(AND($B$10="M",AP10="WA"),"M",IF(AND($B$10="M",AP10="EXC"),"M",IF(AND($B$10="F",AP10="WA"),"F",IF(AND($B$10="F",AP10="EXC"),"F","-"))))</f>
        <v>-</v>
      </c>
      <c r="AR10" s="61" t="str">
        <f t="shared" si="13"/>
        <v/>
      </c>
      <c r="AS10" s="61" t="str">
        <f t="shared" si="14"/>
        <v/>
      </c>
      <c r="AT10" s="65"/>
      <c r="AU10" s="47" t="str">
        <f>IF(AND($B$10="M",AT10="WA"),"M",IF(AND($B$10="M",AT10="EXC"),"M",IF(AND($B$10="F",AT10="WA"),"F",IF(AND($B$10="F",AT10="EXC"),"F","-"))))</f>
        <v>-</v>
      </c>
      <c r="AV10" s="68"/>
      <c r="AW10" s="66"/>
      <c r="AX10" s="48"/>
      <c r="AY10" s="70"/>
      <c r="AZ10" s="59" t="str">
        <f>IF(AND($B$10="M",AY10="WA"),"M",IF(AND($B$10="M",AY10="EXC"),"M",IF(AND($B$10="F",AY10="WA"),"F",IF(AND($B$10="F",AY10="EXC"),"F","-"))))</f>
        <v>-</v>
      </c>
      <c r="BA10" s="64" t="str">
        <f t="shared" si="15"/>
        <v/>
      </c>
      <c r="BB10" s="69"/>
      <c r="BC10" s="59" t="str">
        <f>IF(AND($B$10="M",BB10="WA"),"M",IF(AND($B$10="M",BB10="EXC"),"M",IF(AND($B$10="F",BB10="WA"),"F",IF(AND($B$10="F",BB10="EXC"),"F","-"))))</f>
        <v>-</v>
      </c>
      <c r="BD10" s="64" t="str">
        <f t="shared" si="16"/>
        <v/>
      </c>
      <c r="BE10" s="69"/>
      <c r="BF10" s="59" t="str">
        <f>IF(AND($B$10="M",BE10="WA"),"M",IF(AND($B$10="M",BE10="EXC"),"M",IF(AND($B$10="F",BE10="WA"),"F",IF(AND($B$10="F",BE10="EXC"),"F","-"))))</f>
        <v>-</v>
      </c>
      <c r="BG10" s="64" t="str">
        <f t="shared" si="17"/>
        <v/>
      </c>
      <c r="BH10" s="69"/>
      <c r="BI10" s="59" t="str">
        <f>IF(AND($B$10="M",BH10="WA"),"M",IF(AND($B$10="M",BH10="EXC"),"M",IF(AND($B$10="F",BH10="WA"),"F",IF(AND($B$10="F",BH10="EXC"),"F","-"))))</f>
        <v>-</v>
      </c>
      <c r="BJ10" s="64" t="str">
        <f t="shared" si="18"/>
        <v/>
      </c>
      <c r="BK10" s="69"/>
      <c r="BL10" s="59" t="str">
        <f>IF(AND($B$10="M",BK10="WA"),"M",IF(AND($B$10="M",BK10="EXC"),"M",IF(AND($B$10="F",BK10="WA"),"F",IF(AND($B$10="F",BK10="EXC"),"F","-"))))</f>
        <v>-</v>
      </c>
      <c r="BM10" s="61" t="str">
        <f t="shared" si="19"/>
        <v/>
      </c>
      <c r="BN10" s="69"/>
      <c r="BO10" s="59" t="str">
        <f>IF(AND($B$10="M",BN10="WA"),"M",IF(AND($B$10="M",BN10="EXC"),"M",IF(AND($B$10="F",BN10="WA"),"F",IF(AND($B$10="F",BN10="EXC"),"F","-"))))</f>
        <v>-</v>
      </c>
      <c r="BP10" s="61" t="str">
        <f t="shared" si="20"/>
        <v/>
      </c>
      <c r="BQ10" s="61" t="str">
        <f t="shared" si="21"/>
        <v/>
      </c>
      <c r="BR10" s="65"/>
      <c r="BS10" s="47" t="str">
        <f>IF(AND($B$10="M",BR10="WA"),"M",IF(AND($B$10="M",BR10="EXC"),"M",IF(AND($B$10="F",BR10="WA"),"F",IF(AND($B$10="F",BR10="EXC"),"F","-"))))</f>
        <v>-</v>
      </c>
      <c r="BT10" s="68"/>
      <c r="BU10" s="66"/>
      <c r="BV10" s="48"/>
      <c r="BW10" s="70"/>
      <c r="BX10" s="59" t="str">
        <f>IF(AND($B$10="M",BW10="WA"),"M",IF(AND($B$10="M",BW10="EXC"),"M",IF(AND($B$10="F",BW10="WA"),"F",IF(AND($B$10="F",BW10="EXC"),"F","-"))))</f>
        <v>-</v>
      </c>
      <c r="BY10" s="64" t="str">
        <f t="shared" si="22"/>
        <v/>
      </c>
      <c r="BZ10" s="69"/>
      <c r="CA10" s="59" t="str">
        <f>IF(AND($B$10="M",BZ10="WA"),"M",IF(AND($B$10="M",BZ10="EXC"),"M",IF(AND($B$10="F",BZ10="WA"),"F",IF(AND($B$10="F",BZ10="EXC"),"F","-"))))</f>
        <v>-</v>
      </c>
      <c r="CB10" s="64" t="str">
        <f t="shared" si="23"/>
        <v/>
      </c>
      <c r="CC10" s="69"/>
      <c r="CD10" s="59" t="str">
        <f>IF(AND($B$10="M",CC10="WA"),"M",IF(AND($B$10="M",CC10="EXC"),"M",IF(AND($B$10="F",CC10="WA"),"F",IF(AND($B$10="F",CC10="EXC"),"F","-"))))</f>
        <v>-</v>
      </c>
      <c r="CE10" s="64" t="str">
        <f t="shared" si="24"/>
        <v/>
      </c>
      <c r="CF10" s="69"/>
      <c r="CG10" s="59" t="str">
        <f>IF(AND($B$10="M",CF10="WA"),"M",IF(AND($B$10="M",CF10="EXC"),"M",IF(AND($B$10="F",CF10="WA"),"F",IF(AND($B$10="F",CF10="EXC"),"F","-"))))</f>
        <v>-</v>
      </c>
      <c r="CH10" s="64" t="str">
        <f t="shared" si="25"/>
        <v/>
      </c>
      <c r="CI10" s="69"/>
      <c r="CJ10" s="59" t="str">
        <f>IF(AND($B$10="M",CI10="WA"),"M",IF(AND($B$10="M",CI10="EXC"),"M",IF(AND($B$10="F",CI10="WA"),"F",IF(AND($B$10="F",CI10="EXC"),"F","-"))))</f>
        <v>-</v>
      </c>
      <c r="CK10" s="61" t="str">
        <f t="shared" si="26"/>
        <v/>
      </c>
      <c r="CL10" s="69"/>
      <c r="CM10" s="59" t="str">
        <f>IF(AND($B$10="M",CL10="WA"),"M",IF(AND($B$10="M",CL10="EXC"),"M",IF(AND($B$10="F",CL10="WA"),"F",IF(AND($B$10="F",CL10="EXC"),"F","-"))))</f>
        <v>-</v>
      </c>
      <c r="CN10" s="61" t="str">
        <f t="shared" si="27"/>
        <v/>
      </c>
      <c r="CO10" s="61" t="str">
        <f t="shared" si="28"/>
        <v/>
      </c>
      <c r="CP10" s="65"/>
      <c r="CQ10" s="47" t="str">
        <f>IF(AND($B$10="M",CP10="WA"),"M",IF(AND($B$10="M",CP10="EXC"),"M",IF(AND($B$10="F",CP10="WA"),"F",IF(AND($B$10="F",CP10="EXC"),"F","-"))))</f>
        <v>-</v>
      </c>
      <c r="CR10" s="68"/>
      <c r="CS10" s="66"/>
      <c r="CT10" s="48"/>
      <c r="CU10" s="70"/>
      <c r="CV10" s="59" t="str">
        <f>IF(AND($B$10="M",CU10="WA"),"M",IF(AND($B$10="M",CU10="EXC"),"M",IF(AND($B$10="F",CU10="WA"),"F",IF(AND($B$10="F",CU10="EXC"),"F","-"))))</f>
        <v>-</v>
      </c>
      <c r="CW10" s="64" t="str">
        <f t="shared" si="29"/>
        <v/>
      </c>
      <c r="CX10" s="69"/>
      <c r="CY10" s="59" t="str">
        <f>IF(AND($B$10="M",CX10="WA"),"M",IF(AND($B$10="M",CX10="EXC"),"M",IF(AND($B$10="F",CX10="WA"),"F",IF(AND($B$10="F",CX10="EXC"),"F","-"))))</f>
        <v>-</v>
      </c>
      <c r="CZ10" s="64" t="str">
        <f t="shared" si="30"/>
        <v/>
      </c>
      <c r="DA10" s="69"/>
      <c r="DB10" s="59" t="str">
        <f>IF(AND($B$10="M",DA10="WA"),"M",IF(AND($B$10="M",DA10="EXC"),"M",IF(AND($B$10="F",DA10="WA"),"F",IF(AND($B$10="F",DA10="EXC"),"F","-"))))</f>
        <v>-</v>
      </c>
      <c r="DC10" s="64" t="str">
        <f t="shared" si="31"/>
        <v/>
      </c>
      <c r="DD10" s="69"/>
      <c r="DE10" s="59" t="str">
        <f>IF(AND($B$10="M",DD10="WA"),"M",IF(AND($B$10="M",DD10="EXC"),"M",IF(AND($B$10="F",DD10="WA"),"F",IF(AND($B$10="F",DD10="EXC"),"F","-"))))</f>
        <v>-</v>
      </c>
      <c r="DF10" s="64" t="str">
        <f t="shared" si="32"/>
        <v/>
      </c>
      <c r="DG10" s="69"/>
      <c r="DH10" s="59" t="str">
        <f>IF(AND($B$10="M",DG10="WA"),"M",IF(AND($B$10="M",DG10="EXC"),"M",IF(AND($B$10="F",DG10="WA"),"F",IF(AND($B$10="F",DG10="EXC"),"F","-"))))</f>
        <v>-</v>
      </c>
      <c r="DI10" s="61" t="str">
        <f t="shared" si="33"/>
        <v/>
      </c>
      <c r="DJ10" s="69"/>
      <c r="DK10" s="59" t="str">
        <f>IF(AND($B$10="M",DJ10="WA"),"M",IF(AND($B$10="M",DJ10="EXC"),"M",IF(AND($B$10="F",DJ10="WA"),"F",IF(AND($B$10="F",DJ10="EXC"),"F","-"))))</f>
        <v>-</v>
      </c>
      <c r="DL10" s="61" t="str">
        <f t="shared" si="34"/>
        <v/>
      </c>
      <c r="DM10" s="61" t="str">
        <f t="shared" si="35"/>
        <v/>
      </c>
      <c r="DN10" s="65"/>
      <c r="DO10" s="47" t="str">
        <f>IF(AND($B$10="M",DN10="WA"),"M",IF(AND($B$10="M",DN10="EXC"),"M",IF(AND($B$10="F",DN10="WA"),"F",IF(AND($B$10="F",DN10="EXC"),"F","-"))))</f>
        <v>-</v>
      </c>
      <c r="DP10" s="68"/>
      <c r="DQ10" s="66"/>
      <c r="DR10" s="48"/>
      <c r="DS10" s="70"/>
      <c r="DT10" s="59" t="str">
        <f>IF(AND($B$10="M",DS10="WA"),"M",IF(AND($B$10="M",DS10="EXC"),"M",IF(AND($B$10="F",DS10="WA"),"F",IF(AND($B$10="F",DS10="EXC"),"F","-"))))</f>
        <v>-</v>
      </c>
      <c r="DU10" s="64" t="str">
        <f t="shared" si="36"/>
        <v/>
      </c>
      <c r="DV10" s="69"/>
      <c r="DW10" s="59" t="str">
        <f>IF(AND($B$10="M",DV10="WA"),"M",IF(AND($B$10="M",DV10="EXC"),"M",IF(AND($B$10="F",DV10="WA"),"F",IF(AND($B$10="F",DV10="EXC"),"F","-"))))</f>
        <v>-</v>
      </c>
      <c r="DX10" s="64" t="str">
        <f t="shared" si="37"/>
        <v/>
      </c>
      <c r="DY10" s="69"/>
      <c r="DZ10" s="59" t="str">
        <f>IF(AND($B$10="M",DY10="WA"),"M",IF(AND($B$10="M",DY10="EXC"),"M",IF(AND($B$10="F",DY10="WA"),"F",IF(AND($B$10="F",DY10="EXC"),"F","-"))))</f>
        <v>-</v>
      </c>
      <c r="EA10" s="64" t="str">
        <f t="shared" si="38"/>
        <v/>
      </c>
      <c r="EB10" s="69"/>
      <c r="EC10" s="59" t="str">
        <f>IF(AND($B$10="M",EB10="WA"),"M",IF(AND($B$10="M",EB10="EXC"),"M",IF(AND($B$10="F",EB10="WA"),"F",IF(AND($B$10="F",EB10="EXC"),"F","-"))))</f>
        <v>-</v>
      </c>
      <c r="ED10" s="64" t="str">
        <f t="shared" si="39"/>
        <v/>
      </c>
      <c r="EE10" s="69"/>
      <c r="EF10" s="59" t="str">
        <f>IF(AND($B$10="M",EE10="WA"),"M",IF(AND($B$10="M",EE10="EXC"),"M",IF(AND($B$10="F",EE10="WA"),"F",IF(AND($B$10="F",EE10="EXC"),"F","-"))))</f>
        <v>-</v>
      </c>
      <c r="EG10" s="61" t="str">
        <f t="shared" si="40"/>
        <v/>
      </c>
      <c r="EH10" s="69"/>
      <c r="EI10" s="59" t="str">
        <f>IF(AND($B$10="M",EH10="WA"),"M",IF(AND($B$10="M",EH10="EXC"),"M",IF(AND($B$10="F",EH10="WA"),"F",IF(AND($B$10="F",EH10="EXC"),"F","-"))))</f>
        <v>-</v>
      </c>
      <c r="EJ10" s="61" t="str">
        <f t="shared" si="41"/>
        <v/>
      </c>
      <c r="EK10" s="61" t="str">
        <f t="shared" si="42"/>
        <v/>
      </c>
      <c r="EL10" s="65"/>
      <c r="EM10" s="47" t="str">
        <f>IF(AND($B$10="M",EL10="WA"),"M",IF(AND($B$10="M",EL10="EXC"),"M",IF(AND($B$10="F",EL10="WA"),"F",IF(AND($B$10="F",EL10="EXC"),"F","-"))))</f>
        <v>-</v>
      </c>
      <c r="EN10" s="68"/>
      <c r="EO10" s="66"/>
      <c r="EP10" s="48"/>
      <c r="EQ10" s="70"/>
      <c r="ER10" s="59" t="str">
        <f>IF(AND($B$10="M",EQ10="WA"),"M",IF(AND($B$10="M",EQ10="EXC"),"M",IF(AND($B$10="F",EQ10="WA"),"F",IF(AND($B$10="F",EQ10="EXC"),"F","-"))))</f>
        <v>-</v>
      </c>
      <c r="ES10" s="64" t="str">
        <f t="shared" si="43"/>
        <v/>
      </c>
      <c r="ET10" s="69"/>
      <c r="EU10" s="59" t="str">
        <f>IF(AND($B$10="M",ET10="WA"),"M",IF(AND($B$10="M",ET10="EXC"),"M",IF(AND($B$10="F",ET10="WA"),"F",IF(AND($B$10="F",ET10="EXC"),"F","-"))))</f>
        <v>-</v>
      </c>
      <c r="EV10" s="64" t="str">
        <f t="shared" si="44"/>
        <v/>
      </c>
      <c r="EW10" s="69"/>
      <c r="EX10" s="59" t="str">
        <f>IF(AND($B$10="M",EW10="WA"),"M",IF(AND($B$10="M",EW10="EXC"),"M",IF(AND($B$10="F",EW10="WA"),"F",IF(AND($B$10="F",EW10="EXC"),"F","-"))))</f>
        <v>-</v>
      </c>
      <c r="EY10" s="64" t="str">
        <f t="shared" si="45"/>
        <v/>
      </c>
      <c r="EZ10" s="69"/>
      <c r="FA10" s="59" t="str">
        <f>IF(AND($B$10="M",EZ10="WA"),"M",IF(AND($B$10="M",EZ10="EXC"),"M",IF(AND($B$10="F",EZ10="WA"),"F",IF(AND($B$10="F",EZ10="EXC"),"F","-"))))</f>
        <v>-</v>
      </c>
      <c r="FB10" s="64" t="str">
        <f t="shared" si="46"/>
        <v/>
      </c>
      <c r="FC10" s="69"/>
      <c r="FD10" s="59" t="str">
        <f>IF(AND($B$10="M",FC10="WA"),"M",IF(AND($B$10="M",FC10="EXC"),"M",IF(AND($B$10="F",FC10="WA"),"F",IF(AND($B$10="F",FC10="EXC"),"F","-"))))</f>
        <v>-</v>
      </c>
      <c r="FE10" s="61" t="str">
        <f t="shared" si="47"/>
        <v/>
      </c>
      <c r="FF10" s="69"/>
      <c r="FG10" s="59" t="str">
        <f>IF(AND($B$10="M",FF10="WA"),"M",IF(AND($B$10="M",FF10="EXC"),"M",IF(AND($B$10="F",FF10="WA"),"F",IF(AND($B$10="F",FF10="EXC"),"F","-"))))</f>
        <v>-</v>
      </c>
      <c r="FH10" s="61" t="str">
        <f t="shared" si="48"/>
        <v/>
      </c>
      <c r="FI10" s="61" t="str">
        <f t="shared" si="49"/>
        <v/>
      </c>
      <c r="FJ10" s="65"/>
      <c r="FK10" s="47" t="str">
        <f>IF(AND($B$10="M",FJ10="WA"),"M",IF(AND($B$10="M",FJ10="EXC"),"M",IF(AND($B$10="F",FJ10="WA"),"F",IF(AND($B$10="F",FJ10="EXC"),"F","-"))))</f>
        <v>-</v>
      </c>
      <c r="FL10" s="68"/>
      <c r="FM10" s="66"/>
      <c r="FN10" s="48"/>
      <c r="FO10" s="70"/>
      <c r="FP10" s="59" t="str">
        <f>IF(AND($B$10="M",FO10="WA"),"M",IF(AND($B$10="M",FO10="EXC"),"M",IF(AND($B$10="F",FO10="WA"),"F",IF(AND($B$10="F",FO10="EXC"),"F","-"))))</f>
        <v>-</v>
      </c>
      <c r="FQ10" s="64" t="str">
        <f t="shared" si="50"/>
        <v/>
      </c>
      <c r="FR10" s="69"/>
      <c r="FS10" s="59" t="str">
        <f>IF(AND($B$10="M",FR10="WA"),"M",IF(AND($B$10="M",FR10="EXC"),"M",IF(AND($B$10="F",FR10="WA"),"F",IF(AND($B$10="F",FR10="EXC"),"F","-"))))</f>
        <v>-</v>
      </c>
      <c r="FT10" s="64" t="str">
        <f t="shared" si="51"/>
        <v/>
      </c>
      <c r="FU10" s="69"/>
      <c r="FV10" s="59" t="str">
        <f>IF(AND($B$10="M",FU10="WA"),"M",IF(AND($B$10="M",FU10="EXC"),"M",IF(AND($B$10="F",FU10="WA"),"F",IF(AND($B$10="F",FU10="EXC"),"F","-"))))</f>
        <v>-</v>
      </c>
      <c r="FW10" s="64" t="str">
        <f t="shared" si="52"/>
        <v/>
      </c>
      <c r="FX10" s="69"/>
      <c r="FY10" s="59" t="str">
        <f>IF(AND($B$10="M",FX10="WA"),"M",IF(AND($B$10="M",FX10="EXC"),"M",IF(AND($B$10="F",FX10="WA"),"F",IF(AND($B$10="F",FX10="EXC"),"F","-"))))</f>
        <v>-</v>
      </c>
      <c r="FZ10" s="64" t="str">
        <f t="shared" si="53"/>
        <v/>
      </c>
      <c r="GA10" s="69"/>
      <c r="GB10" s="59" t="str">
        <f>IF(AND($B$10="M",GA10="WA"),"M",IF(AND($B$10="M",GA10="EXC"),"M",IF(AND($B$10="F",GA10="WA"),"F",IF(AND($B$10="F",GA10="EXC"),"F","-"))))</f>
        <v>-</v>
      </c>
      <c r="GC10" s="61" t="str">
        <f t="shared" si="54"/>
        <v/>
      </c>
      <c r="GD10" s="69"/>
      <c r="GE10" s="59" t="str">
        <f>IF(AND($B$10="M",GD10="WA"),"M",IF(AND($B$10="M",GD10="EXC"),"M",IF(AND($B$10="F",GD10="WA"),"F",IF(AND($B$10="F",GD10="EXC"),"F","-"))))</f>
        <v>-</v>
      </c>
      <c r="GF10" s="61" t="str">
        <f t="shared" si="55"/>
        <v/>
      </c>
      <c r="GG10" s="61" t="str">
        <f t="shared" si="56"/>
        <v/>
      </c>
      <c r="GH10" s="65"/>
      <c r="GI10" s="47" t="str">
        <f>IF(AND($B$10="M",GH10="WA"),"M",IF(AND($B$10="M",GH10="EXC"),"M",IF(AND($B$10="F",GH10="WA"),"F",IF(AND($B$10="F",GH10="EXC"),"F","-"))))</f>
        <v>-</v>
      </c>
      <c r="GJ10" s="68"/>
      <c r="GK10" s="66"/>
      <c r="GL10" s="48"/>
      <c r="GM10" s="70"/>
      <c r="GN10" s="59" t="str">
        <f>IF(AND($B$10="M",GM10="WA"),"M",IF(AND($B$10="M",GM10="EXC"),"M",IF(AND($B$10="F",GM10="WA"),"F",IF(AND($B$10="F",GM10="EXC"),"F","-"))))</f>
        <v>-</v>
      </c>
      <c r="GO10" s="64" t="str">
        <f t="shared" si="57"/>
        <v/>
      </c>
      <c r="GP10" s="69"/>
      <c r="GQ10" s="59" t="str">
        <f>IF(AND($B$10="M",GP10="WA"),"M",IF(AND($B$10="M",GP10="EXC"),"M",IF(AND($B$10="F",GP10="WA"),"F",IF(AND($B$10="F",GP10="EXC"),"F","-"))))</f>
        <v>-</v>
      </c>
      <c r="GR10" s="64" t="str">
        <f t="shared" si="58"/>
        <v/>
      </c>
      <c r="GS10" s="69"/>
      <c r="GT10" s="59" t="str">
        <f>IF(AND($B$10="M",GS10="WA"),"M",IF(AND($B$10="M",GS10="EXC"),"M",IF(AND($B$10="F",GS10="WA"),"F",IF(AND($B$10="F",GS10="EXC"),"F","-"))))</f>
        <v>-</v>
      </c>
      <c r="GU10" s="64" t="str">
        <f t="shared" si="59"/>
        <v/>
      </c>
      <c r="GV10" s="61" t="str">
        <f t="shared" si="60"/>
        <v/>
      </c>
      <c r="GW10" s="65"/>
      <c r="GX10" s="47" t="str">
        <f>IF(AND($B$10="M",GW10="WA"),"M",IF(AND($B$10="M",GW10="EXC"),"M",IF(AND($B$10="F",GW10="WA"),"F",IF(AND($B$10="F",GW10="EXC"),"F","-"))))</f>
        <v>-</v>
      </c>
      <c r="GY10" s="68"/>
      <c r="GZ10" s="66"/>
      <c r="HA10" s="48"/>
      <c r="HB10" s="70"/>
      <c r="HC10" s="59" t="str">
        <f>IF(AND($B$10="M",HB10="WA"),"M",IF(AND($B$10="M",HB10="EXC"),"M",IF(AND($B$10="F",HB10="WA"),"F",IF(AND($B$10="F",HB10="EXC"),"F","-"))))</f>
        <v>-</v>
      </c>
      <c r="HD10" s="64" t="str">
        <f t="shared" si="61"/>
        <v/>
      </c>
      <c r="HE10" s="69"/>
      <c r="HF10" s="59" t="str">
        <f>IF(AND($B$10="M",HE10="WA"),"M",IF(AND($B$10="M",HE10="EXC"),"M",IF(AND($B$10="F",HE10="WA"),"F",IF(AND($B$10="F",HE10="EXC"),"F","-"))))</f>
        <v>-</v>
      </c>
      <c r="HG10" s="64" t="str">
        <f t="shared" si="62"/>
        <v/>
      </c>
      <c r="HH10" s="69"/>
      <c r="HI10" s="59" t="str">
        <f>IF(AND($B$10="M",HH10="WA"),"M",IF(AND($B$10="M",HH10="EXC"),"M",IF(AND($B$10="F",HH10="WA"),"F",IF(AND($B$10="F",HH10="EXC"),"F","-"))))</f>
        <v>-</v>
      </c>
      <c r="HJ10" s="64" t="str">
        <f t="shared" si="63"/>
        <v/>
      </c>
      <c r="HK10" s="61" t="str">
        <f t="shared" si="64"/>
        <v/>
      </c>
      <c r="HL10" s="65"/>
      <c r="HM10" s="47" t="str">
        <f>IF(AND($B$10="M",HL10="WA"),"M",IF(AND($B$10="M",HL10="EXC"),"M",IF(AND($B$10="F",HL10="WA"),"F",IF(AND($B$10="F",HL10="EXC"),"F","-"))))</f>
        <v>-</v>
      </c>
      <c r="HN10" s="13"/>
      <c r="HO10" s="14"/>
      <c r="HP10" s="15"/>
      <c r="HQ10" s="54"/>
      <c r="HR10" s="55" t="str">
        <f>IF(AND($B$10="M",HQ10="WA"),"M",IF(AND($B$10="M",HQ10="EXC"),"M",IF(AND($B$10="F",HQ10="WA"),"F",IF(AND($B$10="F",HQ10="EXC"),"F","-"))))</f>
        <v>-</v>
      </c>
      <c r="HS10" s="56" t="str">
        <f t="shared" si="65"/>
        <v/>
      </c>
      <c r="HT10" s="54"/>
      <c r="HU10" s="55" t="str">
        <f>IF(AND($B$10="M",HT10="WA"),"M",IF(AND($B$10="M",HT10="EXC"),"M",IF(AND($B$10="F",HT10="WA"),"F",IF(AND($B$10="F",HT10="EXC"),"F","-"))))</f>
        <v>-</v>
      </c>
      <c r="HV10" s="56" t="str">
        <f t="shared" si="66"/>
        <v/>
      </c>
      <c r="HW10" s="54"/>
      <c r="HX10" s="55" t="str">
        <f>IF(AND($B$10="M",HW10="WA"),"M",IF(AND($B$10="M",HW10="EXC"),"M",IF(AND($B$10="F",HW10="WA"),"F",IF(AND($B$10="F",HW10="EXC"),"F","-"))))</f>
        <v>-</v>
      </c>
      <c r="HY10" s="56" t="str">
        <f t="shared" si="67"/>
        <v/>
      </c>
      <c r="HZ10" s="54" t="str">
        <f t="shared" si="68"/>
        <v/>
      </c>
      <c r="IA10" s="67"/>
      <c r="IB10" s="55" t="str">
        <f>IF(AND($B$10="M",IA10="WA"),"M",IF(AND($B$10="M",IA10="EXC"),"M",IF(AND($B$10="F",IA10="WA"),"F",IF(AND($B$10="F",IA10="EXC"),"F","-"))))</f>
        <v>-</v>
      </c>
      <c r="IC10" s="17"/>
    </row>
    <row r="11">
      <c r="A11" s="40"/>
      <c r="B11" s="41"/>
      <c r="C11" s="69"/>
      <c r="D11" s="59" t="str">
        <f>IF(AND($B$11="M",C11="WA"),"M",IF(AND($B$11="M",C11="EXC"),"M",IF(AND($B$11="F",C11="WA"),"F",IF(AND($B$11="F",C11="EXC"),"F","-"))))</f>
        <v>-</v>
      </c>
      <c r="E11" s="60" t="str">
        <f t="shared" si="1"/>
        <v/>
      </c>
      <c r="F11" s="69"/>
      <c r="G11" s="59" t="str">
        <f>IF(AND($B$11="M",F11="WA"),"M",IF(AND($B$11="M",F11="EXC"),"M",IF(AND($B$11="F",F11="WA"),"F",IF(AND($B$11="F",F11="EXC"),"F","-"))))</f>
        <v>-</v>
      </c>
      <c r="H11" s="60" t="str">
        <f t="shared" si="2"/>
        <v/>
      </c>
      <c r="I11" s="69"/>
      <c r="J11" s="59" t="str">
        <f>IF(AND($B$11="M",I11="WA"),"M",IF(AND($B$11="M",I11="EXC"),"M",IF(AND($B$11="F",I11="WA"),"F",IF(AND($B$11="F",I11="EXC"),"F","-"))))</f>
        <v>-</v>
      </c>
      <c r="K11" s="60" t="str">
        <f t="shared" si="3"/>
        <v/>
      </c>
      <c r="L11" s="69"/>
      <c r="M11" s="59" t="str">
        <f>IF(AND($B$11="M",L11="WA"),"M",IF(AND($B$11="M",L11="EXC"),"M",IF(AND($B$11="F",L11="WA"),"F",IF(AND($B$11="F",L11="EXC"),"F","-"))))</f>
        <v>-</v>
      </c>
      <c r="N11" s="60" t="str">
        <f t="shared" si="4"/>
        <v/>
      </c>
      <c r="O11" s="69"/>
      <c r="P11" s="59" t="str">
        <f>IF(AND($B$11="M",O11="WA"),"M",IF(AND($B$11="M",O11="EXC"),"M",IF(AND($B$11="F",O11="WA"),"F",IF(AND($B$11="F",O11="EXC"),"F","-"))))</f>
        <v>-</v>
      </c>
      <c r="Q11" s="60" t="str">
        <f t="shared" si="5"/>
        <v/>
      </c>
      <c r="R11" s="69"/>
      <c r="S11" s="59" t="str">
        <f>IF(AND($B$11="M",R11="WA"),"M",IF(AND($B$11="M",R11="EXC"),"M",IF(AND($B$11="F",R11="WA"),"F",IF(AND($B$11="F",R11="EXC"),"F","-"))))</f>
        <v>-</v>
      </c>
      <c r="T11" s="60" t="str">
        <f t="shared" si="6"/>
        <v/>
      </c>
      <c r="U11" s="61" t="str">
        <f t="shared" si="7"/>
        <v/>
      </c>
      <c r="V11" s="62"/>
      <c r="W11" s="47" t="str">
        <f>IF(AND($B$11="M",V11="WA"),"M",IF(AND($B$11="M",V11="EXC"),"M",IF(AND($B$11="F",V11="WA"),"F",IF(AND($B$11="F",V11="EXC"),"F","-"))))</f>
        <v>-</v>
      </c>
      <c r="X11" s="48"/>
      <c r="Y11" s="49"/>
      <c r="Z11" s="48"/>
      <c r="AA11" s="70"/>
      <c r="AB11" s="59" t="str">
        <f>IF(AND($B$11="M",AA11="WA"),"M",IF(AND($B$11="M",AA11="EXC"),"M",IF(AND($B$11="F",AA11="WA"),"F",IF(AND($B$11="F",AA11="EXC"),"F","-"))))</f>
        <v>-</v>
      </c>
      <c r="AC11" s="64" t="str">
        <f t="shared" si="8"/>
        <v/>
      </c>
      <c r="AD11" s="69"/>
      <c r="AE11" s="59" t="str">
        <f>IF(AND($B$11="M",AD11="WA"),"M",IF(AND($B$11="M",AD11="EXC"),"M",IF(AND($B$11="F",AD11="WA"),"F",IF(AND($B$11="F",AD11="EXC"),"F","-"))))</f>
        <v>-</v>
      </c>
      <c r="AF11" s="64" t="str">
        <f t="shared" si="9"/>
        <v/>
      </c>
      <c r="AG11" s="69"/>
      <c r="AH11" s="59" t="str">
        <f>IF(AND($B$11="M",AG11="WA"),"M",IF(AND($B$11="M",AG11="EXC"),"M",IF(AND($B$11="F",AG11="WA"),"F",IF(AND($B$11="F",AG11="EXC"),"F","-"))))</f>
        <v>-</v>
      </c>
      <c r="AI11" s="64" t="str">
        <f t="shared" si="10"/>
        <v/>
      </c>
      <c r="AJ11" s="69"/>
      <c r="AK11" s="59" t="str">
        <f>IF(AND($B$11="M",AJ11="WA"),"M",IF(AND($B$11="M",AJ11="EXC"),"M",IF(AND($B$11="F",AJ11="WA"),"F",IF(AND($B$11="F",AJ11="EXC"),"F","-"))))</f>
        <v>-</v>
      </c>
      <c r="AL11" s="64" t="str">
        <f t="shared" si="11"/>
        <v/>
      </c>
      <c r="AM11" s="69"/>
      <c r="AN11" s="59" t="str">
        <f>IF(AND($B$11="M",AM11="WA"),"M",IF(AND($B$11="M",AM11="EXC"),"M",IF(AND($B$11="F",AM11="WA"),"F",IF(AND($B$11="F",AM11="EXC"),"F","-"))))</f>
        <v>-</v>
      </c>
      <c r="AO11" s="61" t="str">
        <f t="shared" si="12"/>
        <v/>
      </c>
      <c r="AP11" s="69"/>
      <c r="AQ11" s="59" t="str">
        <f>IF(AND($B$11="M",AP11="WA"),"M",IF(AND($B$11="M",AP11="EXC"),"M",IF(AND($B$11="F",AP11="WA"),"F",IF(AND($B$11="F",AP11="EXC"),"F","-"))))</f>
        <v>-</v>
      </c>
      <c r="AR11" s="61" t="str">
        <f t="shared" si="13"/>
        <v/>
      </c>
      <c r="AS11" s="61" t="str">
        <f t="shared" si="14"/>
        <v/>
      </c>
      <c r="AT11" s="65"/>
      <c r="AU11" s="47" t="str">
        <f>IF(AND($B$11="M",AT11="WA"),"M",IF(AND($B$11="M",AT11="EXC"),"M",IF(AND($B$11="F",AT11="WA"),"F",IF(AND($B$11="F",AT11="EXC"),"F","-"))))</f>
        <v>-</v>
      </c>
      <c r="AV11" s="68"/>
      <c r="AW11" s="66"/>
      <c r="AX11" s="48"/>
      <c r="AY11" s="70"/>
      <c r="AZ11" s="59" t="str">
        <f>IF(AND($B$11="M",AY11="WA"),"M",IF(AND($B$11="M",AY11="EXC"),"M",IF(AND($B$11="F",AY11="WA"),"F",IF(AND($B$11="F",AY11="EXC"),"F","-"))))</f>
        <v>-</v>
      </c>
      <c r="BA11" s="64" t="str">
        <f t="shared" si="15"/>
        <v/>
      </c>
      <c r="BB11" s="69"/>
      <c r="BC11" s="59" t="str">
        <f>IF(AND($B$11="M",BB11="WA"),"M",IF(AND($B$11="M",BB11="EXC"),"M",IF(AND($B$11="F",BB11="WA"),"F",IF(AND($B$11="F",BB11="EXC"),"F","-"))))</f>
        <v>-</v>
      </c>
      <c r="BD11" s="64" t="str">
        <f t="shared" si="16"/>
        <v/>
      </c>
      <c r="BE11" s="69"/>
      <c r="BF11" s="59" t="str">
        <f>IF(AND($B$11="M",BE11="WA"),"M",IF(AND($B$11="M",BE11="EXC"),"M",IF(AND($B$11="F",BE11="WA"),"F",IF(AND($B$11="F",BE11="EXC"),"F","-"))))</f>
        <v>-</v>
      </c>
      <c r="BG11" s="64" t="str">
        <f t="shared" si="17"/>
        <v/>
      </c>
      <c r="BH11" s="69"/>
      <c r="BI11" s="59" t="str">
        <f>IF(AND($B$11="M",BH11="WA"),"M",IF(AND($B$11="M",BH11="EXC"),"M",IF(AND($B$11="F",BH11="WA"),"F",IF(AND($B$11="F",BH11="EXC"),"F","-"))))</f>
        <v>-</v>
      </c>
      <c r="BJ11" s="64" t="str">
        <f t="shared" si="18"/>
        <v/>
      </c>
      <c r="BK11" s="69"/>
      <c r="BL11" s="59" t="str">
        <f>IF(AND($B$11="M",BK11="WA"),"M",IF(AND($B$11="M",BK11="EXC"),"M",IF(AND($B$11="F",BK11="WA"),"F",IF(AND($B$11="F",BK11="EXC"),"F","-"))))</f>
        <v>-</v>
      </c>
      <c r="BM11" s="61" t="str">
        <f t="shared" si="19"/>
        <v/>
      </c>
      <c r="BN11" s="69"/>
      <c r="BO11" s="59" t="str">
        <f>IF(AND($B$11="M",BN11="WA"),"M",IF(AND($B$11="M",BN11="EXC"),"M",IF(AND($B$11="F",BN11="WA"),"F",IF(AND($B$11="F",BN11="EXC"),"F","-"))))</f>
        <v>-</v>
      </c>
      <c r="BP11" s="61" t="str">
        <f t="shared" si="20"/>
        <v/>
      </c>
      <c r="BQ11" s="61" t="str">
        <f t="shared" si="21"/>
        <v/>
      </c>
      <c r="BR11" s="65"/>
      <c r="BS11" s="47" t="str">
        <f>IF(AND($B$11="M",BR11="WA"),"M",IF(AND($B$11="M",BR11="EXC"),"M",IF(AND($B$11="F",BR11="WA"),"F",IF(AND($B$11="F",BR11="EXC"),"F","-"))))</f>
        <v>-</v>
      </c>
      <c r="BT11" s="68"/>
      <c r="BU11" s="66"/>
      <c r="BV11" s="48"/>
      <c r="BW11" s="70"/>
      <c r="BX11" s="59" t="str">
        <f>IF(AND($B$11="M",BW11="WA"),"M",IF(AND($B$11="M",BW11="EXC"),"M",IF(AND($B$11="F",BW11="WA"),"F",IF(AND($B$11="F",BW11="EXC"),"F","-"))))</f>
        <v>-</v>
      </c>
      <c r="BY11" s="64" t="str">
        <f t="shared" si="22"/>
        <v/>
      </c>
      <c r="BZ11" s="69"/>
      <c r="CA11" s="59" t="str">
        <f>IF(AND($B$11="M",BZ11="WA"),"M",IF(AND($B$11="M",BZ11="EXC"),"M",IF(AND($B$11="F",BZ11="WA"),"F",IF(AND($B$11="F",BZ11="EXC"),"F","-"))))</f>
        <v>-</v>
      </c>
      <c r="CB11" s="64" t="str">
        <f t="shared" si="23"/>
        <v/>
      </c>
      <c r="CC11" s="69"/>
      <c r="CD11" s="59" t="str">
        <f>IF(AND($B$11="M",CC11="WA"),"M",IF(AND($B$11="M",CC11="EXC"),"M",IF(AND($B$11="F",CC11="WA"),"F",IF(AND($B$11="F",CC11="EXC"),"F","-"))))</f>
        <v>-</v>
      </c>
      <c r="CE11" s="64" t="str">
        <f t="shared" si="24"/>
        <v/>
      </c>
      <c r="CF11" s="69"/>
      <c r="CG11" s="59" t="str">
        <f>IF(AND($B$11="M",CF11="WA"),"M",IF(AND($B$11="M",CF11="EXC"),"M",IF(AND($B$11="F",CF11="WA"),"F",IF(AND($B$11="F",CF11="EXC"),"F","-"))))</f>
        <v>-</v>
      </c>
      <c r="CH11" s="64" t="str">
        <f t="shared" si="25"/>
        <v/>
      </c>
      <c r="CI11" s="69"/>
      <c r="CJ11" s="59" t="str">
        <f>IF(AND($B$11="M",CI11="WA"),"M",IF(AND($B$11="M",CI11="EXC"),"M",IF(AND($B$11="F",CI11="WA"),"F",IF(AND($B$11="F",CI11="EXC"),"F","-"))))</f>
        <v>-</v>
      </c>
      <c r="CK11" s="61" t="str">
        <f t="shared" si="26"/>
        <v/>
      </c>
      <c r="CL11" s="69"/>
      <c r="CM11" s="59" t="str">
        <f>IF(AND($B$11="M",CL11="WA"),"M",IF(AND($B$11="M",CL11="EXC"),"M",IF(AND($B$11="F",CL11="WA"),"F",IF(AND($B$11="F",CL11="EXC"),"F","-"))))</f>
        <v>-</v>
      </c>
      <c r="CN11" s="61" t="str">
        <f t="shared" si="27"/>
        <v/>
      </c>
      <c r="CO11" s="61" t="str">
        <f t="shared" si="28"/>
        <v/>
      </c>
      <c r="CP11" s="65"/>
      <c r="CQ11" s="47" t="str">
        <f>IF(AND($B$11="M",CP11="WA"),"M",IF(AND($B$11="M",CP11="EXC"),"M",IF(AND($B$11="F",CP11="WA"),"F",IF(AND($B$11="F",CP11="EXC"),"F","-"))))</f>
        <v>-</v>
      </c>
      <c r="CR11" s="68"/>
      <c r="CS11" s="66"/>
      <c r="CT11" s="48"/>
      <c r="CU11" s="70"/>
      <c r="CV11" s="59" t="str">
        <f>IF(AND($B$11="M",CU11="WA"),"M",IF(AND($B$11="M",CU11="EXC"),"M",IF(AND($B$11="F",CU11="WA"),"F",IF(AND($B$11="F",CU11="EXC"),"F","-"))))</f>
        <v>-</v>
      </c>
      <c r="CW11" s="64" t="str">
        <f t="shared" si="29"/>
        <v/>
      </c>
      <c r="CX11" s="69"/>
      <c r="CY11" s="59" t="str">
        <f>IF(AND($B$11="M",CX11="WA"),"M",IF(AND($B$11="M",CX11="EXC"),"M",IF(AND($B$11="F",CX11="WA"),"F",IF(AND($B$11="F",CX11="EXC"),"F","-"))))</f>
        <v>-</v>
      </c>
      <c r="CZ11" s="64" t="str">
        <f t="shared" si="30"/>
        <v/>
      </c>
      <c r="DA11" s="69"/>
      <c r="DB11" s="59" t="str">
        <f>IF(AND($B$11="M",DA11="WA"),"M",IF(AND($B$11="M",DA11="EXC"),"M",IF(AND($B$11="F",DA11="WA"),"F",IF(AND($B$11="F",DA11="EXC"),"F","-"))))</f>
        <v>-</v>
      </c>
      <c r="DC11" s="64" t="str">
        <f t="shared" si="31"/>
        <v/>
      </c>
      <c r="DD11" s="69"/>
      <c r="DE11" s="59" t="str">
        <f>IF(AND($B$11="M",DD11="WA"),"M",IF(AND($B$11="M",DD11="EXC"),"M",IF(AND($B$11="F",DD11="WA"),"F",IF(AND($B$11="F",DD11="EXC"),"F","-"))))</f>
        <v>-</v>
      </c>
      <c r="DF11" s="64" t="str">
        <f t="shared" si="32"/>
        <v/>
      </c>
      <c r="DG11" s="69"/>
      <c r="DH11" s="59" t="str">
        <f>IF(AND($B$11="M",DG11="WA"),"M",IF(AND($B$11="M",DG11="EXC"),"M",IF(AND($B$11="F",DG11="WA"),"F",IF(AND($B$11="F",DG11="EXC"),"F","-"))))</f>
        <v>-</v>
      </c>
      <c r="DI11" s="61" t="str">
        <f t="shared" si="33"/>
        <v/>
      </c>
      <c r="DJ11" s="69"/>
      <c r="DK11" s="59" t="str">
        <f>IF(AND($B$11="M",DJ11="WA"),"M",IF(AND($B$11="M",DJ11="EXC"),"M",IF(AND($B$11="F",DJ11="WA"),"F",IF(AND($B$11="F",DJ11="EXC"),"F","-"))))</f>
        <v>-</v>
      </c>
      <c r="DL11" s="61" t="str">
        <f t="shared" si="34"/>
        <v/>
      </c>
      <c r="DM11" s="61" t="str">
        <f t="shared" si="35"/>
        <v/>
      </c>
      <c r="DN11" s="65"/>
      <c r="DO11" s="47" t="str">
        <f>IF(AND($B$11="M",DN11="WA"),"M",IF(AND($B$11="M",DN11="EXC"),"M",IF(AND($B$11="F",DN11="WA"),"F",IF(AND($B$11="F",DN11="EXC"),"F","-"))))</f>
        <v>-</v>
      </c>
      <c r="DP11" s="68"/>
      <c r="DQ11" s="66"/>
      <c r="DR11" s="48"/>
      <c r="DS11" s="70"/>
      <c r="DT11" s="59" t="str">
        <f>IF(AND($B$11="M",DS11="WA"),"M",IF(AND($B$11="M",DS11="EXC"),"M",IF(AND($B$11="F",DS11="WA"),"F",IF(AND($B$11="F",DS11="EXC"),"F","-"))))</f>
        <v>-</v>
      </c>
      <c r="DU11" s="64" t="str">
        <f t="shared" si="36"/>
        <v/>
      </c>
      <c r="DV11" s="69"/>
      <c r="DW11" s="59" t="str">
        <f>IF(AND($B$11="M",DV11="WA"),"M",IF(AND($B$11="M",DV11="EXC"),"M",IF(AND($B$11="F",DV11="WA"),"F",IF(AND($B$11="F",DV11="EXC"),"F","-"))))</f>
        <v>-</v>
      </c>
      <c r="DX11" s="64" t="str">
        <f t="shared" si="37"/>
        <v/>
      </c>
      <c r="DY11" s="69"/>
      <c r="DZ11" s="59" t="str">
        <f>IF(AND($B$11="M",DY11="WA"),"M",IF(AND($B$11="M",DY11="EXC"),"M",IF(AND($B$11="F",DY11="WA"),"F",IF(AND($B$11="F",DY11="EXC"),"F","-"))))</f>
        <v>-</v>
      </c>
      <c r="EA11" s="64" t="str">
        <f t="shared" si="38"/>
        <v/>
      </c>
      <c r="EB11" s="69"/>
      <c r="EC11" s="59" t="str">
        <f>IF(AND($B$11="M",EB11="WA"),"M",IF(AND($B$11="M",EB11="EXC"),"M",IF(AND($B$11="F",EB11="WA"),"F",IF(AND($B$11="F",EB11="EXC"),"F","-"))))</f>
        <v>-</v>
      </c>
      <c r="ED11" s="64" t="str">
        <f t="shared" si="39"/>
        <v/>
      </c>
      <c r="EE11" s="69"/>
      <c r="EF11" s="59" t="str">
        <f>IF(AND($B$11="M",EE11="WA"),"M",IF(AND($B$11="M",EE11="EXC"),"M",IF(AND($B$11="F",EE11="WA"),"F",IF(AND($B$11="F",EE11="EXC"),"F","-"))))</f>
        <v>-</v>
      </c>
      <c r="EG11" s="61" t="str">
        <f t="shared" si="40"/>
        <v/>
      </c>
      <c r="EH11" s="69"/>
      <c r="EI11" s="59" t="str">
        <f>IF(AND($B$11="M",EH11="WA"),"M",IF(AND($B$11="M",EH11="EXC"),"M",IF(AND($B$11="F",EH11="WA"),"F",IF(AND($B$11="F",EH11="EXC"),"F","-"))))</f>
        <v>-</v>
      </c>
      <c r="EJ11" s="61" t="str">
        <f t="shared" si="41"/>
        <v/>
      </c>
      <c r="EK11" s="61" t="str">
        <f t="shared" si="42"/>
        <v/>
      </c>
      <c r="EL11" s="65"/>
      <c r="EM11" s="47" t="str">
        <f>IF(AND($B$11="M",EL11="WA"),"M",IF(AND($B$11="M",EL11="EXC"),"M",IF(AND($B$11="F",EL11="WA"),"F",IF(AND($B$11="F",EL11="EXC"),"F","-"))))</f>
        <v>-</v>
      </c>
      <c r="EN11" s="68"/>
      <c r="EO11" s="66"/>
      <c r="EP11" s="48"/>
      <c r="EQ11" s="70"/>
      <c r="ER11" s="59" t="str">
        <f>IF(AND($B$11="M",EQ11="WA"),"M",IF(AND($B$11="M",EQ11="EXC"),"M",IF(AND($B$11="F",EQ11="WA"),"F",IF(AND($B$11="F",EQ11="EXC"),"F","-"))))</f>
        <v>-</v>
      </c>
      <c r="ES11" s="64" t="str">
        <f t="shared" si="43"/>
        <v/>
      </c>
      <c r="ET11" s="69"/>
      <c r="EU11" s="59" t="str">
        <f>IF(AND($B$11="M",ET11="WA"),"M",IF(AND($B$11="M",ET11="EXC"),"M",IF(AND($B$11="F",ET11="WA"),"F",IF(AND($B$11="F",ET11="EXC"),"F","-"))))</f>
        <v>-</v>
      </c>
      <c r="EV11" s="64" t="str">
        <f t="shared" si="44"/>
        <v/>
      </c>
      <c r="EW11" s="69"/>
      <c r="EX11" s="59" t="str">
        <f>IF(AND($B$11="M",EW11="WA"),"M",IF(AND($B$11="M",EW11="EXC"),"M",IF(AND($B$11="F",EW11="WA"),"F",IF(AND($B$11="F",EW11="EXC"),"F","-"))))</f>
        <v>-</v>
      </c>
      <c r="EY11" s="64" t="str">
        <f t="shared" si="45"/>
        <v/>
      </c>
      <c r="EZ11" s="69"/>
      <c r="FA11" s="59" t="str">
        <f>IF(AND($B$11="M",EZ11="WA"),"M",IF(AND($B$11="M",EZ11="EXC"),"M",IF(AND($B$11="F",EZ11="WA"),"F",IF(AND($B$11="F",EZ11="EXC"),"F","-"))))</f>
        <v>-</v>
      </c>
      <c r="FB11" s="64" t="str">
        <f t="shared" si="46"/>
        <v/>
      </c>
      <c r="FC11" s="69"/>
      <c r="FD11" s="59" t="str">
        <f>IF(AND($B$11="M",FC11="WA"),"M",IF(AND($B$11="M",FC11="EXC"),"M",IF(AND($B$11="F",FC11="WA"),"F",IF(AND($B$11="F",FC11="EXC"),"F","-"))))</f>
        <v>-</v>
      </c>
      <c r="FE11" s="61" t="str">
        <f t="shared" si="47"/>
        <v/>
      </c>
      <c r="FF11" s="69"/>
      <c r="FG11" s="59" t="str">
        <f>IF(AND($B$11="M",FF11="WA"),"M",IF(AND($B$11="M",FF11="EXC"),"M",IF(AND($B$11="F",FF11="WA"),"F",IF(AND($B$11="F",FF11="EXC"),"F","-"))))</f>
        <v>-</v>
      </c>
      <c r="FH11" s="61" t="str">
        <f t="shared" si="48"/>
        <v/>
      </c>
      <c r="FI11" s="61" t="str">
        <f t="shared" si="49"/>
        <v/>
      </c>
      <c r="FJ11" s="65"/>
      <c r="FK11" s="47" t="str">
        <f>IF(AND($B$11="M",FJ11="WA"),"M",IF(AND($B$11="M",FJ11="EXC"),"M",IF(AND($B$11="F",FJ11="WA"),"F",IF(AND($B$11="F",FJ11="EXC"),"F","-"))))</f>
        <v>-</v>
      </c>
      <c r="FL11" s="68"/>
      <c r="FM11" s="66"/>
      <c r="FN11" s="48"/>
      <c r="FO11" s="70"/>
      <c r="FP11" s="59" t="str">
        <f>IF(AND($B$11="M",FO11="WA"),"M",IF(AND($B$11="M",FO11="EXC"),"M",IF(AND($B$11="F",FO11="WA"),"F",IF(AND($B$11="F",FO11="EXC"),"F","-"))))</f>
        <v>-</v>
      </c>
      <c r="FQ11" s="64" t="str">
        <f t="shared" si="50"/>
        <v/>
      </c>
      <c r="FR11" s="69"/>
      <c r="FS11" s="59" t="str">
        <f>IF(AND($B$11="M",FR11="WA"),"M",IF(AND($B$11="M",FR11="EXC"),"M",IF(AND($B$11="F",FR11="WA"),"F",IF(AND($B$11="F",FR11="EXC"),"F","-"))))</f>
        <v>-</v>
      </c>
      <c r="FT11" s="64" t="str">
        <f t="shared" si="51"/>
        <v/>
      </c>
      <c r="FU11" s="69"/>
      <c r="FV11" s="59" t="str">
        <f>IF(AND($B$11="M",FU11="WA"),"M",IF(AND($B$11="M",FU11="EXC"),"M",IF(AND($B$11="F",FU11="WA"),"F",IF(AND($B$11="F",FU11="EXC"),"F","-"))))</f>
        <v>-</v>
      </c>
      <c r="FW11" s="64" t="str">
        <f t="shared" si="52"/>
        <v/>
      </c>
      <c r="FX11" s="69"/>
      <c r="FY11" s="59" t="str">
        <f>IF(AND($B$11="M",FX11="WA"),"M",IF(AND($B$11="M",FX11="EXC"),"M",IF(AND($B$11="F",FX11="WA"),"F",IF(AND($B$11="F",FX11="EXC"),"F","-"))))</f>
        <v>-</v>
      </c>
      <c r="FZ11" s="64" t="str">
        <f t="shared" si="53"/>
        <v/>
      </c>
      <c r="GA11" s="69"/>
      <c r="GB11" s="59" t="str">
        <f>IF(AND($B$11="M",GA11="WA"),"M",IF(AND($B$11="M",GA11="EXC"),"M",IF(AND($B$11="F",GA11="WA"),"F",IF(AND($B$11="F",GA11="EXC"),"F","-"))))</f>
        <v>-</v>
      </c>
      <c r="GC11" s="61" t="str">
        <f t="shared" si="54"/>
        <v/>
      </c>
      <c r="GD11" s="69"/>
      <c r="GE11" s="59" t="str">
        <f>IF(AND($B$11="M",GD11="WA"),"M",IF(AND($B$11="M",GD11="EXC"),"M",IF(AND($B$11="F",GD11="WA"),"F",IF(AND($B$11="F",GD11="EXC"),"F","-"))))</f>
        <v>-</v>
      </c>
      <c r="GF11" s="61" t="str">
        <f t="shared" si="55"/>
        <v/>
      </c>
      <c r="GG11" s="61" t="str">
        <f t="shared" si="56"/>
        <v/>
      </c>
      <c r="GH11" s="65"/>
      <c r="GI11" s="47" t="str">
        <f>IF(AND($B$11="M",GH11="WA"),"M",IF(AND($B$11="M",GH11="EXC"),"M",IF(AND($B$11="F",GH11="WA"),"F",IF(AND($B$11="F",GH11="EXC"),"F","-"))))</f>
        <v>-</v>
      </c>
      <c r="GJ11" s="68"/>
      <c r="GK11" s="66"/>
      <c r="GL11" s="48"/>
      <c r="GM11" s="70"/>
      <c r="GN11" s="59" t="str">
        <f>IF(AND($B$11="M",GM11="WA"),"M",IF(AND($B$11="M",GM11="EXC"),"M",IF(AND($B$11="F",GM11="WA"),"F",IF(AND($B$11="F",GM11="EXC"),"F","-"))))</f>
        <v>-</v>
      </c>
      <c r="GO11" s="64" t="str">
        <f t="shared" si="57"/>
        <v/>
      </c>
      <c r="GP11" s="69"/>
      <c r="GQ11" s="59" t="str">
        <f>IF(AND($B$11="M",GP11="WA"),"M",IF(AND($B$11="M",GP11="EXC"),"M",IF(AND($B$11="F",GP11="WA"),"F",IF(AND($B$11="F",GP11="EXC"),"F","-"))))</f>
        <v>-</v>
      </c>
      <c r="GR11" s="64" t="str">
        <f t="shared" si="58"/>
        <v/>
      </c>
      <c r="GS11" s="69"/>
      <c r="GT11" s="59" t="str">
        <f>IF(AND($B$11="M",GS11="WA"),"M",IF(AND($B$11="M",GS11="EXC"),"M",IF(AND($B$11="F",GS11="WA"),"F",IF(AND($B$11="F",GS11="EXC"),"F","-"))))</f>
        <v>-</v>
      </c>
      <c r="GU11" s="64" t="str">
        <f t="shared" si="59"/>
        <v/>
      </c>
      <c r="GV11" s="61" t="str">
        <f t="shared" si="60"/>
        <v/>
      </c>
      <c r="GW11" s="65"/>
      <c r="GX11" s="47" t="str">
        <f>IF(AND($B$11="M",GW11="WA"),"M",IF(AND($B$11="M",GW11="EXC"),"M",IF(AND($B$11="F",GW11="WA"),"F",IF(AND($B$11="F",GW11="EXC"),"F","-"))))</f>
        <v>-</v>
      </c>
      <c r="GY11" s="68"/>
      <c r="GZ11" s="66"/>
      <c r="HA11" s="48"/>
      <c r="HB11" s="70"/>
      <c r="HC11" s="59" t="str">
        <f>IF(AND($B$11="M",HB11="WA"),"M",IF(AND($B$11="M",HB11="EXC"),"M",IF(AND($B$11="F",HB11="WA"),"F",IF(AND($B$11="F",HB11="EXC"),"F","-"))))</f>
        <v>-</v>
      </c>
      <c r="HD11" s="64" t="str">
        <f t="shared" si="61"/>
        <v/>
      </c>
      <c r="HE11" s="69"/>
      <c r="HF11" s="59" t="str">
        <f>IF(AND($B$11="M",HE11="WA"),"M",IF(AND($B$11="M",HE11="EXC"),"M",IF(AND($B$11="F",HE11="WA"),"F",IF(AND($B$11="F",HE11="EXC"),"F","-"))))</f>
        <v>-</v>
      </c>
      <c r="HG11" s="64" t="str">
        <f t="shared" si="62"/>
        <v/>
      </c>
      <c r="HH11" s="69"/>
      <c r="HI11" s="59" t="str">
        <f>IF(AND($B$11="M",HH11="WA"),"M",IF(AND($B$11="M",HH11="EXC"),"M",IF(AND($B$11="F",HH11="WA"),"F",IF(AND($B$11="F",HH11="EXC"),"F","-"))))</f>
        <v>-</v>
      </c>
      <c r="HJ11" s="64" t="str">
        <f t="shared" si="63"/>
        <v/>
      </c>
      <c r="HK11" s="61" t="str">
        <f t="shared" si="64"/>
        <v/>
      </c>
      <c r="HL11" s="65"/>
      <c r="HM11" s="47" t="str">
        <f>IF(AND($B$11="M",HL11="WA"),"M",IF(AND($B$11="M",HL11="EXC"),"M",IF(AND($B$11="F",HL11="WA"),"F",IF(AND($B$11="F",HL11="EXC"),"F","-"))))</f>
        <v>-</v>
      </c>
      <c r="HN11" s="13"/>
      <c r="HO11" s="14"/>
      <c r="HP11" s="15"/>
      <c r="HQ11" s="54"/>
      <c r="HR11" s="55" t="str">
        <f>IF(AND($B$11="M",HQ11="WA"),"M",IF(AND($B$11="M",HQ11="EXC"),"M",IF(AND($B$11="F",HQ11="WA"),"F",IF(AND($B$11="F",HQ11="EXC"),"F","-"))))</f>
        <v>-</v>
      </c>
      <c r="HS11" s="56" t="str">
        <f t="shared" si="65"/>
        <v/>
      </c>
      <c r="HT11" s="54"/>
      <c r="HU11" s="55" t="str">
        <f>IF(AND($B$11="M",HT11="WA"),"M",IF(AND($B$11="M",HT11="EXC"),"M",IF(AND($B$11="F",HT11="WA"),"F",IF(AND($B$11="F",HT11="EXC"),"F","-"))))</f>
        <v>-</v>
      </c>
      <c r="HV11" s="56" t="str">
        <f t="shared" si="66"/>
        <v/>
      </c>
      <c r="HW11" s="54"/>
      <c r="HX11" s="55" t="str">
        <f>IF(AND($B$11="M",HW11="WA"),"M",IF(AND($B$11="M",HW11="EXC"),"M",IF(AND($B$11="F",HW11="WA"),"F",IF(AND($B$11="F",HW11="EXC"),"F","-"))))</f>
        <v>-</v>
      </c>
      <c r="HY11" s="56" t="str">
        <f t="shared" si="67"/>
        <v/>
      </c>
      <c r="HZ11" s="54" t="str">
        <f t="shared" si="68"/>
        <v/>
      </c>
      <c r="IA11" s="67"/>
      <c r="IB11" s="55" t="str">
        <f>IF(AND($B$11="M",IA11="WA"),"M",IF(AND($B$11="M",IA11="EXC"),"M",IF(AND($B$11="F",IA11="WA"),"F",IF(AND($B$11="F",IA11="EXC"),"F","-"))))</f>
        <v>-</v>
      </c>
      <c r="IC11" s="17"/>
    </row>
    <row r="12">
      <c r="A12" s="40"/>
      <c r="B12" s="41"/>
      <c r="C12" s="69"/>
      <c r="D12" s="59" t="str">
        <f>IF(AND($B$12="M",C12="WA"),"M",IF(AND($B$12="M",C12="EXC"),"M",IF(AND($B$12="F",C12="WA"),"F",IF(AND($B$12="F",C12="EXC"),"F","-"))))</f>
        <v>-</v>
      </c>
      <c r="E12" s="60" t="str">
        <f t="shared" si="1"/>
        <v/>
      </c>
      <c r="F12" s="69"/>
      <c r="G12" s="59" t="str">
        <f>IF(AND($B$12="M",F12="WA"),"M",IF(AND($B$12="M",F12="EXC"),"M",IF(AND($B$12="F",F12="WA"),"F",IF(AND($B$12="F",F12="EXC"),"F","-"))))</f>
        <v>-</v>
      </c>
      <c r="H12" s="60" t="str">
        <f t="shared" si="2"/>
        <v/>
      </c>
      <c r="I12" s="69"/>
      <c r="J12" s="59" t="str">
        <f>IF(AND($B$12="M",I12="WA"),"M",IF(AND($B$12="M",I12="EXC"),"M",IF(AND($B$12="F",I12="WA"),"F",IF(AND($B$12="F",I12="EXC"),"F","-"))))</f>
        <v>-</v>
      </c>
      <c r="K12" s="60" t="str">
        <f t="shared" si="3"/>
        <v/>
      </c>
      <c r="L12" s="69"/>
      <c r="M12" s="59" t="str">
        <f>IF(AND($B$12="M",L12="WA"),"M",IF(AND($B$12="M",L12="EXC"),"M",IF(AND($B$12="F",L12="WA"),"F",IF(AND($B$12="F",L12="EXC"),"F","-"))))</f>
        <v>-</v>
      </c>
      <c r="N12" s="60" t="str">
        <f t="shared" si="4"/>
        <v/>
      </c>
      <c r="O12" s="69"/>
      <c r="P12" s="59" t="str">
        <f>IF(AND($B$12="M",O12="WA"),"M",IF(AND($B$12="M",O12="EXC"),"M",IF(AND($B$12="F",O12="WA"),"F",IF(AND($B$12="F",O12="EXC"),"F","-"))))</f>
        <v>-</v>
      </c>
      <c r="Q12" s="60" t="str">
        <f t="shared" si="5"/>
        <v/>
      </c>
      <c r="R12" s="69"/>
      <c r="S12" s="59" t="str">
        <f>IF(AND($B$12="M",R12="WA"),"M",IF(AND($B$12="M",R12="EXC"),"M",IF(AND($B$12="F",R12="WA"),"F",IF(AND($B$12="F",R12="EXC"),"F","-"))))</f>
        <v>-</v>
      </c>
      <c r="T12" s="60" t="str">
        <f t="shared" si="6"/>
        <v/>
      </c>
      <c r="U12" s="61" t="str">
        <f t="shared" si="7"/>
        <v/>
      </c>
      <c r="V12" s="62"/>
      <c r="W12" s="47" t="str">
        <f>IF(AND($B$12="M",V12="WA"),"M",IF(AND($B$12="M",V12="EXC"),"M",IF(AND($B$12="F",V12="WA"),"F",IF(AND($B$12="F",V12="EXC"),"F","-"))))</f>
        <v>-</v>
      </c>
      <c r="X12" s="48"/>
      <c r="Y12" s="49"/>
      <c r="Z12" s="48"/>
      <c r="AA12" s="70"/>
      <c r="AB12" s="59" t="str">
        <f>IF(AND($B$12="M",AA12="WA"),"M",IF(AND($B$12="M",AA12="EXC"),"M",IF(AND($B$12="F",AA12="WA"),"F",IF(AND($B$12="F",AA12="EXC"),"F","-"))))</f>
        <v>-</v>
      </c>
      <c r="AC12" s="64" t="str">
        <f t="shared" si="8"/>
        <v/>
      </c>
      <c r="AD12" s="69"/>
      <c r="AE12" s="59" t="str">
        <f>IF(AND($B$12="M",AD12="WA"),"M",IF(AND($B$12="M",AD12="EXC"),"M",IF(AND($B$12="F",AD12="WA"),"F",IF(AND($B$12="F",AD12="EXC"),"F","-"))))</f>
        <v>-</v>
      </c>
      <c r="AF12" s="64" t="str">
        <f t="shared" si="9"/>
        <v/>
      </c>
      <c r="AG12" s="69"/>
      <c r="AH12" s="59" t="str">
        <f>IF(AND($B$12="M",AG12="WA"),"M",IF(AND($B$12="M",AG12="EXC"),"M",IF(AND($B$12="F",AG12="WA"),"F",IF(AND($B$12="F",AG12="EXC"),"F","-"))))</f>
        <v>-</v>
      </c>
      <c r="AI12" s="64" t="str">
        <f t="shared" si="10"/>
        <v/>
      </c>
      <c r="AJ12" s="69"/>
      <c r="AK12" s="59" t="str">
        <f>IF(AND($B$12="M",AJ12="WA"),"M",IF(AND($B$12="M",AJ12="EXC"),"M",IF(AND($B$12="F",AJ12="WA"),"F",IF(AND($B$12="F",AJ12="EXC"),"F","-"))))</f>
        <v>-</v>
      </c>
      <c r="AL12" s="64" t="str">
        <f t="shared" si="11"/>
        <v/>
      </c>
      <c r="AM12" s="69"/>
      <c r="AN12" s="59" t="str">
        <f>IF(AND($B$12="M",AM12="WA"),"M",IF(AND($B$12="M",AM12="EXC"),"M",IF(AND($B$12="F",AM12="WA"),"F",IF(AND($B$12="F",AM12="EXC"),"F","-"))))</f>
        <v>-</v>
      </c>
      <c r="AO12" s="61" t="str">
        <f t="shared" si="12"/>
        <v/>
      </c>
      <c r="AP12" s="69"/>
      <c r="AQ12" s="59" t="str">
        <f>IF(AND($B$12="M",AP12="WA"),"M",IF(AND($B$12="M",AP12="EXC"),"M",IF(AND($B$12="F",AP12="WA"),"F",IF(AND($B$12="F",AP12="EXC"),"F","-"))))</f>
        <v>-</v>
      </c>
      <c r="AR12" s="61" t="str">
        <f t="shared" si="13"/>
        <v/>
      </c>
      <c r="AS12" s="61" t="str">
        <f t="shared" si="14"/>
        <v/>
      </c>
      <c r="AT12" s="65"/>
      <c r="AU12" s="47" t="str">
        <f>IF(AND($B$12="M",AT12="WA"),"M",IF(AND($B$12="M",AT12="EXC"),"M",IF(AND($B$12="F",AT12="WA"),"F",IF(AND($B$12="F",AT12="EXC"),"F","-"))))</f>
        <v>-</v>
      </c>
      <c r="AV12" s="68"/>
      <c r="AW12" s="66"/>
      <c r="AX12" s="48"/>
      <c r="AY12" s="70"/>
      <c r="AZ12" s="59" t="str">
        <f>IF(AND($B$12="M",AY12="WA"),"M",IF(AND($B$12="M",AY12="EXC"),"M",IF(AND($B$12="F",AY12="WA"),"F",IF(AND($B$12="F",AY12="EXC"),"F","-"))))</f>
        <v>-</v>
      </c>
      <c r="BA12" s="64" t="str">
        <f t="shared" si="15"/>
        <v/>
      </c>
      <c r="BB12" s="69"/>
      <c r="BC12" s="59" t="str">
        <f>IF(AND($B$12="M",BB12="WA"),"M",IF(AND($B$12="M",BB12="EXC"),"M",IF(AND($B$12="F",BB12="WA"),"F",IF(AND($B$12="F",BB12="EXC"),"F","-"))))</f>
        <v>-</v>
      </c>
      <c r="BD12" s="64" t="str">
        <f t="shared" si="16"/>
        <v/>
      </c>
      <c r="BE12" s="69"/>
      <c r="BF12" s="59" t="str">
        <f>IF(AND($B$12="M",BE12="WA"),"M",IF(AND($B$12="M",BE12="EXC"),"M",IF(AND($B$12="F",BE12="WA"),"F",IF(AND($B$12="F",BE12="EXC"),"F","-"))))</f>
        <v>-</v>
      </c>
      <c r="BG12" s="64" t="str">
        <f t="shared" si="17"/>
        <v/>
      </c>
      <c r="BH12" s="69"/>
      <c r="BI12" s="59" t="str">
        <f>IF(AND($B$12="M",BH12="WA"),"M",IF(AND($B$12="M",BH12="EXC"),"M",IF(AND($B$12="F",BH12="WA"),"F",IF(AND($B$12="F",BH12="EXC"),"F","-"))))</f>
        <v>-</v>
      </c>
      <c r="BJ12" s="64" t="str">
        <f t="shared" si="18"/>
        <v/>
      </c>
      <c r="BK12" s="69"/>
      <c r="BL12" s="59" t="str">
        <f>IF(AND($B$12="M",BK12="WA"),"M",IF(AND($B$12="M",BK12="EXC"),"M",IF(AND($B$12="F",BK12="WA"),"F",IF(AND($B$12="F",BK12="EXC"),"F","-"))))</f>
        <v>-</v>
      </c>
      <c r="BM12" s="61" t="str">
        <f t="shared" si="19"/>
        <v/>
      </c>
      <c r="BN12" s="69"/>
      <c r="BO12" s="59" t="str">
        <f>IF(AND($B$12="M",BN12="WA"),"M",IF(AND($B$12="M",BN12="EXC"),"M",IF(AND($B$12="F",BN12="WA"),"F",IF(AND($B$12="F",BN12="EXC"),"F","-"))))</f>
        <v>-</v>
      </c>
      <c r="BP12" s="61" t="str">
        <f t="shared" si="20"/>
        <v/>
      </c>
      <c r="BQ12" s="61" t="str">
        <f t="shared" si="21"/>
        <v/>
      </c>
      <c r="BR12" s="65"/>
      <c r="BS12" s="47" t="str">
        <f>IF(AND($B$12="M",BR12="WA"),"M",IF(AND($B$12="M",BR12="EXC"),"M",IF(AND($B$12="F",BR12="WA"),"F",IF(AND($B$12="F",BR12="EXC"),"F","-"))))</f>
        <v>-</v>
      </c>
      <c r="BT12" s="68"/>
      <c r="BU12" s="66"/>
      <c r="BV12" s="48"/>
      <c r="BW12" s="70"/>
      <c r="BX12" s="59" t="str">
        <f>IF(AND($B$12="M",BW12="WA"),"M",IF(AND($B$12="M",BW12="EXC"),"M",IF(AND($B$12="F",BW12="WA"),"F",IF(AND($B$12="F",BW12="EXC"),"F","-"))))</f>
        <v>-</v>
      </c>
      <c r="BY12" s="64" t="str">
        <f t="shared" si="22"/>
        <v/>
      </c>
      <c r="BZ12" s="69"/>
      <c r="CA12" s="59" t="str">
        <f>IF(AND($B$12="M",BZ12="WA"),"M",IF(AND($B$12="M",BZ12="EXC"),"M",IF(AND($B$12="F",BZ12="WA"),"F",IF(AND($B$12="F",BZ12="EXC"),"F","-"))))</f>
        <v>-</v>
      </c>
      <c r="CB12" s="64" t="str">
        <f t="shared" si="23"/>
        <v/>
      </c>
      <c r="CC12" s="69"/>
      <c r="CD12" s="59" t="str">
        <f>IF(AND($B$12="M",CC12="WA"),"M",IF(AND($B$12="M",CC12="EXC"),"M",IF(AND($B$12="F",CC12="WA"),"F",IF(AND($B$12="F",CC12="EXC"),"F","-"))))</f>
        <v>-</v>
      </c>
      <c r="CE12" s="64" t="str">
        <f t="shared" si="24"/>
        <v/>
      </c>
      <c r="CF12" s="69"/>
      <c r="CG12" s="59" t="str">
        <f>IF(AND($B$12="M",CF12="WA"),"M",IF(AND($B$12="M",CF12="EXC"),"M",IF(AND($B$12="F",CF12="WA"),"F",IF(AND($B$12="F",CF12="EXC"),"F","-"))))</f>
        <v>-</v>
      </c>
      <c r="CH12" s="64" t="str">
        <f t="shared" si="25"/>
        <v/>
      </c>
      <c r="CI12" s="69"/>
      <c r="CJ12" s="59" t="str">
        <f>IF(AND($B$12="M",CI12="WA"),"M",IF(AND($B$12="M",CI12="EXC"),"M",IF(AND($B$12="F",CI12="WA"),"F",IF(AND($B$12="F",CI12="EXC"),"F","-"))))</f>
        <v>-</v>
      </c>
      <c r="CK12" s="61" t="str">
        <f t="shared" si="26"/>
        <v/>
      </c>
      <c r="CL12" s="69"/>
      <c r="CM12" s="59" t="str">
        <f>IF(AND($B$12="M",CL12="WA"),"M",IF(AND($B$12="M",CL12="EXC"),"M",IF(AND($B$12="F",CL12="WA"),"F",IF(AND($B$12="F",CL12="EXC"),"F","-"))))</f>
        <v>-</v>
      </c>
      <c r="CN12" s="61" t="str">
        <f t="shared" si="27"/>
        <v/>
      </c>
      <c r="CO12" s="61" t="str">
        <f t="shared" si="28"/>
        <v/>
      </c>
      <c r="CP12" s="65"/>
      <c r="CQ12" s="47" t="str">
        <f>IF(AND($B$12="M",CP12="WA"),"M",IF(AND($B$12="M",CP12="EXC"),"M",IF(AND($B$12="F",CP12="WA"),"F",IF(AND($B$12="F",CP12="EXC"),"F","-"))))</f>
        <v>-</v>
      </c>
      <c r="CR12" s="68"/>
      <c r="CS12" s="66"/>
      <c r="CT12" s="48"/>
      <c r="CU12" s="70"/>
      <c r="CV12" s="59" t="str">
        <f>IF(AND($B$12="M",CU12="WA"),"M",IF(AND($B$12="M",CU12="EXC"),"M",IF(AND($B$12="F",CU12="WA"),"F",IF(AND($B$12="F",CU12="EXC"),"F","-"))))</f>
        <v>-</v>
      </c>
      <c r="CW12" s="64" t="str">
        <f t="shared" si="29"/>
        <v/>
      </c>
      <c r="CX12" s="69"/>
      <c r="CY12" s="59" t="str">
        <f>IF(AND($B$12="M",CX12="WA"),"M",IF(AND($B$12="M",CX12="EXC"),"M",IF(AND($B$12="F",CX12="WA"),"F",IF(AND($B$12="F",CX12="EXC"),"F","-"))))</f>
        <v>-</v>
      </c>
      <c r="CZ12" s="64" t="str">
        <f t="shared" si="30"/>
        <v/>
      </c>
      <c r="DA12" s="69"/>
      <c r="DB12" s="59" t="str">
        <f>IF(AND($B$12="M",DA12="WA"),"M",IF(AND($B$12="M",DA12="EXC"),"M",IF(AND($B$12="F",DA12="WA"),"F",IF(AND($B$12="F",DA12="EXC"),"F","-"))))</f>
        <v>-</v>
      </c>
      <c r="DC12" s="64" t="str">
        <f t="shared" si="31"/>
        <v/>
      </c>
      <c r="DD12" s="69"/>
      <c r="DE12" s="59" t="str">
        <f>IF(AND($B$12="M",DD12="WA"),"M",IF(AND($B$12="M",DD12="EXC"),"M",IF(AND($B$12="F",DD12="WA"),"F",IF(AND($B$12="F",DD12="EXC"),"F","-"))))</f>
        <v>-</v>
      </c>
      <c r="DF12" s="64" t="str">
        <f t="shared" si="32"/>
        <v/>
      </c>
      <c r="DG12" s="69"/>
      <c r="DH12" s="59" t="str">
        <f>IF(AND($B$12="M",DG12="WA"),"M",IF(AND($B$12="M",DG12="EXC"),"M",IF(AND($B$12="F",DG12="WA"),"F",IF(AND($B$12="F",DG12="EXC"),"F","-"))))</f>
        <v>-</v>
      </c>
      <c r="DI12" s="61" t="str">
        <f t="shared" si="33"/>
        <v/>
      </c>
      <c r="DJ12" s="69"/>
      <c r="DK12" s="59" t="str">
        <f>IF(AND($B$12="M",DJ12="WA"),"M",IF(AND($B$12="M",DJ12="EXC"),"M",IF(AND($B$12="F",DJ12="WA"),"F",IF(AND($B$12="F",DJ12="EXC"),"F","-"))))</f>
        <v>-</v>
      </c>
      <c r="DL12" s="61" t="str">
        <f t="shared" si="34"/>
        <v/>
      </c>
      <c r="DM12" s="61" t="str">
        <f t="shared" si="35"/>
        <v/>
      </c>
      <c r="DN12" s="65"/>
      <c r="DO12" s="47" t="str">
        <f>IF(AND($B$12="M",DN12="WA"),"M",IF(AND($B$12="M",DN12="EXC"),"M",IF(AND($B$12="F",DN12="WA"),"F",IF(AND($B$12="F",DN12="EXC"),"F","-"))))</f>
        <v>-</v>
      </c>
      <c r="DP12" s="68"/>
      <c r="DQ12" s="66"/>
      <c r="DR12" s="48"/>
      <c r="DS12" s="70"/>
      <c r="DT12" s="59" t="str">
        <f>IF(AND($B$12="M",DS12="WA"),"M",IF(AND($B$12="M",DS12="EXC"),"M",IF(AND($B$12="F",DS12="WA"),"F",IF(AND($B$12="F",DS12="EXC"),"F","-"))))</f>
        <v>-</v>
      </c>
      <c r="DU12" s="64" t="str">
        <f t="shared" si="36"/>
        <v/>
      </c>
      <c r="DV12" s="69"/>
      <c r="DW12" s="59" t="str">
        <f>IF(AND($B$12="M",DV12="WA"),"M",IF(AND($B$12="M",DV12="EXC"),"M",IF(AND($B$12="F",DV12="WA"),"F",IF(AND($B$12="F",DV12="EXC"),"F","-"))))</f>
        <v>-</v>
      </c>
      <c r="DX12" s="64" t="str">
        <f t="shared" si="37"/>
        <v/>
      </c>
      <c r="DY12" s="69"/>
      <c r="DZ12" s="59" t="str">
        <f>IF(AND($B$12="M",DY12="WA"),"M",IF(AND($B$12="M",DY12="EXC"),"M",IF(AND($B$12="F",DY12="WA"),"F",IF(AND($B$12="F",DY12="EXC"),"F","-"))))</f>
        <v>-</v>
      </c>
      <c r="EA12" s="64" t="str">
        <f t="shared" si="38"/>
        <v/>
      </c>
      <c r="EB12" s="69"/>
      <c r="EC12" s="59" t="str">
        <f>IF(AND($B$12="M",EB12="WA"),"M",IF(AND($B$12="M",EB12="EXC"),"M",IF(AND($B$12="F",EB12="WA"),"F",IF(AND($B$12="F",EB12="EXC"),"F","-"))))</f>
        <v>-</v>
      </c>
      <c r="ED12" s="64" t="str">
        <f t="shared" si="39"/>
        <v/>
      </c>
      <c r="EE12" s="69"/>
      <c r="EF12" s="59" t="str">
        <f>IF(AND($B$12="M",EE12="WA"),"M",IF(AND($B$12="M",EE12="EXC"),"M",IF(AND($B$12="F",EE12="WA"),"F",IF(AND($B$12="F",EE12="EXC"),"F","-"))))</f>
        <v>-</v>
      </c>
      <c r="EG12" s="61" t="str">
        <f t="shared" si="40"/>
        <v/>
      </c>
      <c r="EH12" s="69"/>
      <c r="EI12" s="59" t="str">
        <f>IF(AND($B$12="M",EH12="WA"),"M",IF(AND($B$12="M",EH12="EXC"),"M",IF(AND($B$12="F",EH12="WA"),"F",IF(AND($B$12="F",EH12="EXC"),"F","-"))))</f>
        <v>-</v>
      </c>
      <c r="EJ12" s="61" t="str">
        <f t="shared" si="41"/>
        <v/>
      </c>
      <c r="EK12" s="61" t="str">
        <f t="shared" si="42"/>
        <v/>
      </c>
      <c r="EL12" s="65"/>
      <c r="EM12" s="47" t="str">
        <f>IF(AND($B$12="M",EL12="WA"),"M",IF(AND($B$12="M",EL12="EXC"),"M",IF(AND($B$12="F",EL12="WA"),"F",IF(AND($B$12="F",EL12="EXC"),"F","-"))))</f>
        <v>-</v>
      </c>
      <c r="EN12" s="68"/>
      <c r="EO12" s="66"/>
      <c r="EP12" s="48"/>
      <c r="EQ12" s="70"/>
      <c r="ER12" s="59" t="str">
        <f>IF(AND($B$12="M",EQ12="WA"),"M",IF(AND($B$12="M",EQ12="EXC"),"M",IF(AND($B$12="F",EQ12="WA"),"F",IF(AND($B$12="F",EQ12="EXC"),"F","-"))))</f>
        <v>-</v>
      </c>
      <c r="ES12" s="64" t="str">
        <f t="shared" si="43"/>
        <v/>
      </c>
      <c r="ET12" s="69"/>
      <c r="EU12" s="59" t="str">
        <f>IF(AND($B$12="M",ET12="WA"),"M",IF(AND($B$12="M",ET12="EXC"),"M",IF(AND($B$12="F",ET12="WA"),"F",IF(AND($B$12="F",ET12="EXC"),"F","-"))))</f>
        <v>-</v>
      </c>
      <c r="EV12" s="64" t="str">
        <f t="shared" si="44"/>
        <v/>
      </c>
      <c r="EW12" s="69"/>
      <c r="EX12" s="59" t="str">
        <f>IF(AND($B$12="M",EW12="WA"),"M",IF(AND($B$12="M",EW12="EXC"),"M",IF(AND($B$12="F",EW12="WA"),"F",IF(AND($B$12="F",EW12="EXC"),"F","-"))))</f>
        <v>-</v>
      </c>
      <c r="EY12" s="64" t="str">
        <f t="shared" si="45"/>
        <v/>
      </c>
      <c r="EZ12" s="69"/>
      <c r="FA12" s="59" t="str">
        <f>IF(AND($B$12="M",EZ12="WA"),"M",IF(AND($B$12="M",EZ12="EXC"),"M",IF(AND($B$12="F",EZ12="WA"),"F",IF(AND($B$12="F",EZ12="EXC"),"F","-"))))</f>
        <v>-</v>
      </c>
      <c r="FB12" s="64" t="str">
        <f t="shared" si="46"/>
        <v/>
      </c>
      <c r="FC12" s="69"/>
      <c r="FD12" s="59" t="str">
        <f>IF(AND($B$12="M",FC12="WA"),"M",IF(AND($B$12="M",FC12="EXC"),"M",IF(AND($B$12="F",FC12="WA"),"F",IF(AND($B$12="F",FC12="EXC"),"F","-"))))</f>
        <v>-</v>
      </c>
      <c r="FE12" s="61" t="str">
        <f t="shared" si="47"/>
        <v/>
      </c>
      <c r="FF12" s="69"/>
      <c r="FG12" s="59" t="str">
        <f>IF(AND($B$12="M",FF12="WA"),"M",IF(AND($B$12="M",FF12="EXC"),"M",IF(AND($B$12="F",FF12="WA"),"F",IF(AND($B$12="F",FF12="EXC"),"F","-"))))</f>
        <v>-</v>
      </c>
      <c r="FH12" s="61" t="str">
        <f t="shared" si="48"/>
        <v/>
      </c>
      <c r="FI12" s="61" t="str">
        <f t="shared" si="49"/>
        <v/>
      </c>
      <c r="FJ12" s="65"/>
      <c r="FK12" s="47" t="str">
        <f>IF(AND($B$12="M",FJ12="WA"),"M",IF(AND($B$12="M",FJ12="EXC"),"M",IF(AND($B$12="F",FJ12="WA"),"F",IF(AND($B$12="F",FJ12="EXC"),"F","-"))))</f>
        <v>-</v>
      </c>
      <c r="FL12" s="68"/>
      <c r="FM12" s="66"/>
      <c r="FN12" s="48"/>
      <c r="FO12" s="70"/>
      <c r="FP12" s="59" t="str">
        <f>IF(AND($B$12="M",FO12="WA"),"M",IF(AND($B$12="M",FO12="EXC"),"M",IF(AND($B$12="F",FO12="WA"),"F",IF(AND($B$12="F",FO12="EXC"),"F","-"))))</f>
        <v>-</v>
      </c>
      <c r="FQ12" s="64" t="str">
        <f t="shared" si="50"/>
        <v/>
      </c>
      <c r="FR12" s="69"/>
      <c r="FS12" s="59" t="str">
        <f>IF(AND($B$12="M",FR12="WA"),"M",IF(AND($B$12="M",FR12="EXC"),"M",IF(AND($B$12="F",FR12="WA"),"F",IF(AND($B$12="F",FR12="EXC"),"F","-"))))</f>
        <v>-</v>
      </c>
      <c r="FT12" s="64" t="str">
        <f t="shared" si="51"/>
        <v/>
      </c>
      <c r="FU12" s="69"/>
      <c r="FV12" s="59" t="str">
        <f>IF(AND($B$12="M",FU12="WA"),"M",IF(AND($B$12="M",FU12="EXC"),"M",IF(AND($B$12="F",FU12="WA"),"F",IF(AND($B$12="F",FU12="EXC"),"F","-"))))</f>
        <v>-</v>
      </c>
      <c r="FW12" s="64" t="str">
        <f t="shared" si="52"/>
        <v/>
      </c>
      <c r="FX12" s="69"/>
      <c r="FY12" s="59" t="str">
        <f>IF(AND($B$12="M",FX12="WA"),"M",IF(AND($B$12="M",FX12="EXC"),"M",IF(AND($B$12="F",FX12="WA"),"F",IF(AND($B$12="F",FX12="EXC"),"F","-"))))</f>
        <v>-</v>
      </c>
      <c r="FZ12" s="64" t="str">
        <f t="shared" si="53"/>
        <v/>
      </c>
      <c r="GA12" s="69"/>
      <c r="GB12" s="59" t="str">
        <f>IF(AND($B$12="M",GA12="WA"),"M",IF(AND($B$12="M",GA12="EXC"),"M",IF(AND($B$12="F",GA12="WA"),"F",IF(AND($B$12="F",GA12="EXC"),"F","-"))))</f>
        <v>-</v>
      </c>
      <c r="GC12" s="61" t="str">
        <f t="shared" si="54"/>
        <v/>
      </c>
      <c r="GD12" s="69"/>
      <c r="GE12" s="59" t="str">
        <f>IF(AND($B$12="M",GD12="WA"),"M",IF(AND($B$12="M",GD12="EXC"),"M",IF(AND($B$12="F",GD12="WA"),"F",IF(AND($B$12="F",GD12="EXC"),"F","-"))))</f>
        <v>-</v>
      </c>
      <c r="GF12" s="61" t="str">
        <f t="shared" si="55"/>
        <v/>
      </c>
      <c r="GG12" s="61" t="str">
        <f t="shared" si="56"/>
        <v/>
      </c>
      <c r="GH12" s="65"/>
      <c r="GI12" s="47" t="str">
        <f>IF(AND($B$12="M",GH12="WA"),"M",IF(AND($B$12="M",GH12="EXC"),"M",IF(AND($B$12="F",GH12="WA"),"F",IF(AND($B$12="F",GH12="EXC"),"F","-"))))</f>
        <v>-</v>
      </c>
      <c r="GJ12" s="68"/>
      <c r="GK12" s="66"/>
      <c r="GL12" s="48"/>
      <c r="GM12" s="70"/>
      <c r="GN12" s="59" t="str">
        <f>IF(AND($B$12="M",GM12="WA"),"M",IF(AND($B$12="M",GM12="EXC"),"M",IF(AND($B$12="F",GM12="WA"),"F",IF(AND($B$12="F",GM12="EXC"),"F","-"))))</f>
        <v>-</v>
      </c>
      <c r="GO12" s="64" t="str">
        <f t="shared" si="57"/>
        <v/>
      </c>
      <c r="GP12" s="69"/>
      <c r="GQ12" s="59" t="str">
        <f>IF(AND($B$12="M",GP12="WA"),"M",IF(AND($B$12="M",GP12="EXC"),"M",IF(AND($B$12="F",GP12="WA"),"F",IF(AND($B$12="F",GP12="EXC"),"F","-"))))</f>
        <v>-</v>
      </c>
      <c r="GR12" s="64" t="str">
        <f t="shared" si="58"/>
        <v/>
      </c>
      <c r="GS12" s="69"/>
      <c r="GT12" s="59" t="str">
        <f>IF(AND($B$12="M",GS12="WA"),"M",IF(AND($B$12="M",GS12="EXC"),"M",IF(AND($B$12="F",GS12="WA"),"F",IF(AND($B$12="F",GS12="EXC"),"F","-"))))</f>
        <v>-</v>
      </c>
      <c r="GU12" s="64" t="str">
        <f t="shared" si="59"/>
        <v/>
      </c>
      <c r="GV12" s="61" t="str">
        <f t="shared" si="60"/>
        <v/>
      </c>
      <c r="GW12" s="65"/>
      <c r="GX12" s="47" t="str">
        <f>IF(AND($B$12="M",GW12="WA"),"M",IF(AND($B$12="M",GW12="EXC"),"M",IF(AND($B$12="F",GW12="WA"),"F",IF(AND($B$12="F",GW12="EXC"),"F","-"))))</f>
        <v>-</v>
      </c>
      <c r="GY12" s="68"/>
      <c r="GZ12" s="66"/>
      <c r="HA12" s="48"/>
      <c r="HB12" s="70"/>
      <c r="HC12" s="59" t="str">
        <f>IF(AND($B$12="M",HB12="WA"),"M",IF(AND($B$12="M",HB12="EXC"),"M",IF(AND($B$12="F",HB12="WA"),"F",IF(AND($B$12="F",HB12="EXC"),"F","-"))))</f>
        <v>-</v>
      </c>
      <c r="HD12" s="64" t="str">
        <f t="shared" si="61"/>
        <v/>
      </c>
      <c r="HE12" s="69"/>
      <c r="HF12" s="59" t="str">
        <f>IF(AND($B$12="M",HE12="WA"),"M",IF(AND($B$12="M",HE12="EXC"),"M",IF(AND($B$12="F",HE12="WA"),"F",IF(AND($B$12="F",HE12="EXC"),"F","-"))))</f>
        <v>-</v>
      </c>
      <c r="HG12" s="64" t="str">
        <f t="shared" si="62"/>
        <v/>
      </c>
      <c r="HH12" s="69"/>
      <c r="HI12" s="59" t="str">
        <f>IF(AND($B$12="M",HH12="WA"),"M",IF(AND($B$12="M",HH12="EXC"),"M",IF(AND($B$12="F",HH12="WA"),"F",IF(AND($B$12="F",HH12="EXC"),"F","-"))))</f>
        <v>-</v>
      </c>
      <c r="HJ12" s="64" t="str">
        <f t="shared" si="63"/>
        <v/>
      </c>
      <c r="HK12" s="61" t="str">
        <f t="shared" si="64"/>
        <v/>
      </c>
      <c r="HL12" s="65"/>
      <c r="HM12" s="47" t="str">
        <f>IF(AND($B$12="M",HL12="WA"),"M",IF(AND($B$12="M",HL12="EXC"),"M",IF(AND($B$12="F",HL12="WA"),"F",IF(AND($B$12="F",HL12="EXC"),"F","-"))))</f>
        <v>-</v>
      </c>
      <c r="HN12" s="13"/>
      <c r="HO12" s="14"/>
      <c r="HP12" s="15"/>
      <c r="HQ12" s="54"/>
      <c r="HR12" s="55" t="str">
        <f>IF(AND($B$12="M",HQ12="WA"),"M",IF(AND($B$12="M",HQ12="EXC"),"M",IF(AND($B$12="F",HQ12="WA"),"F",IF(AND($B$12="F",HQ12="EXC"),"F","-"))))</f>
        <v>-</v>
      </c>
      <c r="HS12" s="56" t="str">
        <f t="shared" si="65"/>
        <v/>
      </c>
      <c r="HT12" s="54"/>
      <c r="HU12" s="55" t="str">
        <f>IF(AND($B$12="M",HT12="WA"),"M",IF(AND($B$12="M",HT12="EXC"),"M",IF(AND($B$12="F",HT12="WA"),"F",IF(AND($B$12="F",HT12="EXC"),"F","-"))))</f>
        <v>-</v>
      </c>
      <c r="HV12" s="56" t="str">
        <f t="shared" si="66"/>
        <v/>
      </c>
      <c r="HW12" s="54"/>
      <c r="HX12" s="55" t="str">
        <f>IF(AND($B$12="M",HW12="WA"),"M",IF(AND($B$12="M",HW12="EXC"),"M",IF(AND($B$12="F",HW12="WA"),"F",IF(AND($B$12="F",HW12="EXC"),"F","-"))))</f>
        <v>-</v>
      </c>
      <c r="HY12" s="56" t="str">
        <f t="shared" si="67"/>
        <v/>
      </c>
      <c r="HZ12" s="54" t="str">
        <f t="shared" si="68"/>
        <v/>
      </c>
      <c r="IA12" s="67"/>
      <c r="IB12" s="55" t="str">
        <f>IF(AND($B$12="M",IA12="WA"),"M",IF(AND($B$12="M",IA12="EXC"),"M",IF(AND($B$12="F",IA12="WA"),"F",IF(AND($B$12="F",IA12="EXC"),"F","-"))))</f>
        <v>-</v>
      </c>
      <c r="IC12" s="17"/>
    </row>
    <row r="13">
      <c r="A13" s="40"/>
      <c r="B13" s="41"/>
      <c r="C13" s="69"/>
      <c r="D13" s="59" t="str">
        <f>IF(AND($B$13="M",C13="WA"),"M",IF(AND($B$13="M",C13="EXC"),"M",IF(AND($B$13="F",C13="WA"),"F",IF(AND($B$13="F",C13="EXC"),"F","-"))))</f>
        <v>-</v>
      </c>
      <c r="E13" s="60" t="str">
        <f t="shared" si="1"/>
        <v/>
      </c>
      <c r="F13" s="69"/>
      <c r="G13" s="59" t="str">
        <f>IF(AND($B$13="M",F13="WA"),"M",IF(AND($B$13="M",F13="EXC"),"M",IF(AND($B$13="F",F13="WA"),"F",IF(AND($B$13="F",F13="EXC"),"F","-"))))</f>
        <v>-</v>
      </c>
      <c r="H13" s="60" t="str">
        <f t="shared" si="2"/>
        <v/>
      </c>
      <c r="I13" s="69"/>
      <c r="J13" s="59" t="str">
        <f>IF(AND($B$13="M",I13="WA"),"M",IF(AND($B$13="M",I13="EXC"),"M",IF(AND($B$13="F",I13="WA"),"F",IF(AND($B$13="F",I13="EXC"),"F","-"))))</f>
        <v>-</v>
      </c>
      <c r="K13" s="60" t="str">
        <f t="shared" si="3"/>
        <v/>
      </c>
      <c r="L13" s="69"/>
      <c r="M13" s="59" t="str">
        <f>IF(AND($B$13="M",L13="WA"),"M",IF(AND($B$13="M",L13="EXC"),"M",IF(AND($B$13="F",L13="WA"),"F",IF(AND($B$13="F",L13="EXC"),"F","-"))))</f>
        <v>-</v>
      </c>
      <c r="N13" s="60" t="str">
        <f t="shared" si="4"/>
        <v/>
      </c>
      <c r="O13" s="69"/>
      <c r="P13" s="59" t="str">
        <f>IF(AND($B$13="M",O13="WA"),"M",IF(AND($B$13="M",O13="EXC"),"M",IF(AND($B$13="F",O13="WA"),"F",IF(AND($B$13="F",O13="EXC"),"F","-"))))</f>
        <v>-</v>
      </c>
      <c r="Q13" s="60" t="str">
        <f t="shared" si="5"/>
        <v/>
      </c>
      <c r="R13" s="69"/>
      <c r="S13" s="59" t="str">
        <f>IF(AND($B$13="M",R13="WA"),"M",IF(AND($B$13="M",R13="EXC"),"M",IF(AND($B$13="F",R13="WA"),"F",IF(AND($B$13="F",R13="EXC"),"F","-"))))</f>
        <v>-</v>
      </c>
      <c r="T13" s="60" t="str">
        <f t="shared" si="6"/>
        <v/>
      </c>
      <c r="U13" s="61" t="str">
        <f t="shared" si="7"/>
        <v/>
      </c>
      <c r="V13" s="62"/>
      <c r="W13" s="47" t="str">
        <f>IF(AND($B$13="M",V13="WA"),"M",IF(AND($B$13="M",V13="EXC"),"M",IF(AND($B$13="F",V13="WA"),"F",IF(AND($B$13="F",V13="EXC"),"F","-"))))</f>
        <v>-</v>
      </c>
      <c r="X13" s="48"/>
      <c r="Y13" s="49"/>
      <c r="Z13" s="48"/>
      <c r="AA13" s="70"/>
      <c r="AB13" s="59" t="str">
        <f>IF(AND($B$13="M",AA13="WA"),"M",IF(AND($B$13="M",AA13="EXC"),"M",IF(AND($B$13="F",AA13="WA"),"F",IF(AND($B$13="F",AA13="EXC"),"F","-"))))</f>
        <v>-</v>
      </c>
      <c r="AC13" s="64" t="str">
        <f t="shared" si="8"/>
        <v/>
      </c>
      <c r="AD13" s="69"/>
      <c r="AE13" s="59" t="str">
        <f>IF(AND($B$13="M",AD13="WA"),"M",IF(AND($B$13="M",AD13="EXC"),"M",IF(AND($B$13="F",AD13="WA"),"F",IF(AND($B$13="F",AD13="EXC"),"F","-"))))</f>
        <v>-</v>
      </c>
      <c r="AF13" s="64" t="str">
        <f t="shared" si="9"/>
        <v/>
      </c>
      <c r="AG13" s="69"/>
      <c r="AH13" s="59" t="str">
        <f>IF(AND($B$13="M",AG13="WA"),"M",IF(AND($B$13="M",AG13="EXC"),"M",IF(AND($B$13="F",AG13="WA"),"F",IF(AND($B$13="F",AG13="EXC"),"F","-"))))</f>
        <v>-</v>
      </c>
      <c r="AI13" s="64" t="str">
        <f t="shared" si="10"/>
        <v/>
      </c>
      <c r="AJ13" s="69"/>
      <c r="AK13" s="59" t="str">
        <f>IF(AND($B$13="M",AJ13="WA"),"M",IF(AND($B$13="M",AJ13="EXC"),"M",IF(AND($B$13="F",AJ13="WA"),"F",IF(AND($B$13="F",AJ13="EXC"),"F","-"))))</f>
        <v>-</v>
      </c>
      <c r="AL13" s="64" t="str">
        <f t="shared" si="11"/>
        <v/>
      </c>
      <c r="AM13" s="69"/>
      <c r="AN13" s="59" t="str">
        <f>IF(AND($B$13="M",AM13="WA"),"M",IF(AND($B$13="M",AM13="EXC"),"M",IF(AND($B$13="F",AM13="WA"),"F",IF(AND($B$13="F",AM13="EXC"),"F","-"))))</f>
        <v>-</v>
      </c>
      <c r="AO13" s="61" t="str">
        <f t="shared" si="12"/>
        <v/>
      </c>
      <c r="AP13" s="69"/>
      <c r="AQ13" s="59" t="str">
        <f>IF(AND($B$13="M",AP13="WA"),"M",IF(AND($B$13="M",AP13="EXC"),"M",IF(AND($B$13="F",AP13="WA"),"F",IF(AND($B$13="F",AP13="EXC"),"F","-"))))</f>
        <v>-</v>
      </c>
      <c r="AR13" s="61" t="str">
        <f t="shared" si="13"/>
        <v/>
      </c>
      <c r="AS13" s="61" t="str">
        <f t="shared" si="14"/>
        <v/>
      </c>
      <c r="AT13" s="65"/>
      <c r="AU13" s="47" t="str">
        <f>IF(AND($B$13="M",AT13="WA"),"M",IF(AND($B$13="M",AT13="EXC"),"M",IF(AND($B$13="F",AT13="WA"),"F",IF(AND($B$13="F",AT13="EXC"),"F","-"))))</f>
        <v>-</v>
      </c>
      <c r="AV13" s="68"/>
      <c r="AW13" s="66"/>
      <c r="AX13" s="48"/>
      <c r="AY13" s="70"/>
      <c r="AZ13" s="59" t="str">
        <f>IF(AND($B$13="M",AY13="WA"),"M",IF(AND($B$13="M",AY13="EXC"),"M",IF(AND($B$13="F",AY13="WA"),"F",IF(AND($B$13="F",AY13="EXC"),"F","-"))))</f>
        <v>-</v>
      </c>
      <c r="BA13" s="64" t="str">
        <f t="shared" si="15"/>
        <v/>
      </c>
      <c r="BB13" s="69"/>
      <c r="BC13" s="59" t="str">
        <f>IF(AND($B$13="M",BB13="WA"),"M",IF(AND($B$13="M",BB13="EXC"),"M",IF(AND($B$13="F",BB13="WA"),"F",IF(AND($B$13="F",BB13="EXC"),"F","-"))))</f>
        <v>-</v>
      </c>
      <c r="BD13" s="64" t="str">
        <f t="shared" si="16"/>
        <v/>
      </c>
      <c r="BE13" s="69"/>
      <c r="BF13" s="59" t="str">
        <f>IF(AND($B$13="M",BE13="WA"),"M",IF(AND($B$13="M",BE13="EXC"),"M",IF(AND($B$13="F",BE13="WA"),"F",IF(AND($B$13="F",BE13="EXC"),"F","-"))))</f>
        <v>-</v>
      </c>
      <c r="BG13" s="64" t="str">
        <f t="shared" si="17"/>
        <v/>
      </c>
      <c r="BH13" s="69"/>
      <c r="BI13" s="59" t="str">
        <f>IF(AND($B$13="M",BH13="WA"),"M",IF(AND($B$13="M",BH13="EXC"),"M",IF(AND($B$13="F",BH13="WA"),"F",IF(AND($B$13="F",BH13="EXC"),"F","-"))))</f>
        <v>-</v>
      </c>
      <c r="BJ13" s="64" t="str">
        <f t="shared" si="18"/>
        <v/>
      </c>
      <c r="BK13" s="69"/>
      <c r="BL13" s="59" t="str">
        <f>IF(AND($B$13="M",BK13="WA"),"M",IF(AND($B$13="M",BK13="EXC"),"M",IF(AND($B$13="F",BK13="WA"),"F",IF(AND($B$13="F",BK13="EXC"),"F","-"))))</f>
        <v>-</v>
      </c>
      <c r="BM13" s="61" t="str">
        <f t="shared" si="19"/>
        <v/>
      </c>
      <c r="BN13" s="69"/>
      <c r="BO13" s="59" t="str">
        <f>IF(AND($B$13="M",BN13="WA"),"M",IF(AND($B$13="M",BN13="EXC"),"M",IF(AND($B$13="F",BN13="WA"),"F",IF(AND($B$13="F",BN13="EXC"),"F","-"))))</f>
        <v>-</v>
      </c>
      <c r="BP13" s="61" t="str">
        <f t="shared" si="20"/>
        <v/>
      </c>
      <c r="BQ13" s="61" t="str">
        <f t="shared" si="21"/>
        <v/>
      </c>
      <c r="BR13" s="65"/>
      <c r="BS13" s="47" t="str">
        <f>IF(AND($B$13="M",BR13="WA"),"M",IF(AND($B$13="M",BR13="EXC"),"M",IF(AND($B$13="F",BR13="WA"),"F",IF(AND($B$13="F",BR13="EXC"),"F","-"))))</f>
        <v>-</v>
      </c>
      <c r="BT13" s="68"/>
      <c r="BU13" s="66"/>
      <c r="BV13" s="48"/>
      <c r="BW13" s="70"/>
      <c r="BX13" s="59" t="str">
        <f>IF(AND($B$13="M",BW13="WA"),"M",IF(AND($B$13="M",BW13="EXC"),"M",IF(AND($B$13="F",BW13="WA"),"F",IF(AND($B$13="F",BW13="EXC"),"F","-"))))</f>
        <v>-</v>
      </c>
      <c r="BY13" s="64" t="str">
        <f t="shared" si="22"/>
        <v/>
      </c>
      <c r="BZ13" s="69"/>
      <c r="CA13" s="59" t="str">
        <f>IF(AND($B$13="M",BZ13="WA"),"M",IF(AND($B$13="M",BZ13="EXC"),"M",IF(AND($B$13="F",BZ13="WA"),"F",IF(AND($B$13="F",BZ13="EXC"),"F","-"))))</f>
        <v>-</v>
      </c>
      <c r="CB13" s="64" t="str">
        <f t="shared" si="23"/>
        <v/>
      </c>
      <c r="CC13" s="69"/>
      <c r="CD13" s="59" t="str">
        <f>IF(AND($B$13="M",CC13="WA"),"M",IF(AND($B$13="M",CC13="EXC"),"M",IF(AND($B$13="F",CC13="WA"),"F",IF(AND($B$13="F",CC13="EXC"),"F","-"))))</f>
        <v>-</v>
      </c>
      <c r="CE13" s="64" t="str">
        <f t="shared" si="24"/>
        <v/>
      </c>
      <c r="CF13" s="69"/>
      <c r="CG13" s="59" t="str">
        <f>IF(AND($B$13="M",CF13="WA"),"M",IF(AND($B$13="M",CF13="EXC"),"M",IF(AND($B$13="F",CF13="WA"),"F",IF(AND($B$13="F",CF13="EXC"),"F","-"))))</f>
        <v>-</v>
      </c>
      <c r="CH13" s="64" t="str">
        <f t="shared" si="25"/>
        <v/>
      </c>
      <c r="CI13" s="69"/>
      <c r="CJ13" s="59" t="str">
        <f>IF(AND($B$13="M",CI13="WA"),"M",IF(AND($B$13="M",CI13="EXC"),"M",IF(AND($B$13="F",CI13="WA"),"F",IF(AND($B$13="F",CI13="EXC"),"F","-"))))</f>
        <v>-</v>
      </c>
      <c r="CK13" s="61" t="str">
        <f t="shared" si="26"/>
        <v/>
      </c>
      <c r="CL13" s="69"/>
      <c r="CM13" s="59" t="str">
        <f>IF(AND($B$13="M",CL13="WA"),"M",IF(AND($B$13="M",CL13="EXC"),"M",IF(AND($B$13="F",CL13="WA"),"F",IF(AND($B$13="F",CL13="EXC"),"F","-"))))</f>
        <v>-</v>
      </c>
      <c r="CN13" s="61" t="str">
        <f t="shared" si="27"/>
        <v/>
      </c>
      <c r="CO13" s="61" t="str">
        <f t="shared" si="28"/>
        <v/>
      </c>
      <c r="CP13" s="65"/>
      <c r="CQ13" s="47" t="str">
        <f>IF(AND($B$13="M",CP13="WA"),"M",IF(AND($B$13="M",CP13="EXC"),"M",IF(AND($B$13="F",CP13="WA"),"F",IF(AND($B$13="F",CP13="EXC"),"F","-"))))</f>
        <v>-</v>
      </c>
      <c r="CR13" s="68"/>
      <c r="CS13" s="66"/>
      <c r="CT13" s="48"/>
      <c r="CU13" s="70"/>
      <c r="CV13" s="59" t="str">
        <f>IF(AND($B$13="M",CU13="WA"),"M",IF(AND($B$13="M",CU13="EXC"),"M",IF(AND($B$13="F",CU13="WA"),"F",IF(AND($B$13="F",CU13="EXC"),"F","-"))))</f>
        <v>-</v>
      </c>
      <c r="CW13" s="64" t="str">
        <f t="shared" si="29"/>
        <v/>
      </c>
      <c r="CX13" s="69"/>
      <c r="CY13" s="59" t="str">
        <f>IF(AND($B$13="M",CX13="WA"),"M",IF(AND($B$13="M",CX13="EXC"),"M",IF(AND($B$13="F",CX13="WA"),"F",IF(AND($B$13="F",CX13="EXC"),"F","-"))))</f>
        <v>-</v>
      </c>
      <c r="CZ13" s="64" t="str">
        <f t="shared" si="30"/>
        <v/>
      </c>
      <c r="DA13" s="69"/>
      <c r="DB13" s="59" t="str">
        <f>IF(AND($B$13="M",DA13="WA"),"M",IF(AND($B$13="M",DA13="EXC"),"M",IF(AND($B$13="F",DA13="WA"),"F",IF(AND($B$13="F",DA13="EXC"),"F","-"))))</f>
        <v>-</v>
      </c>
      <c r="DC13" s="64" t="str">
        <f t="shared" si="31"/>
        <v/>
      </c>
      <c r="DD13" s="69"/>
      <c r="DE13" s="59" t="str">
        <f>IF(AND($B$13="M",DD13="WA"),"M",IF(AND($B$13="M",DD13="EXC"),"M",IF(AND($B$13="F",DD13="WA"),"F",IF(AND($B$13="F",DD13="EXC"),"F","-"))))</f>
        <v>-</v>
      </c>
      <c r="DF13" s="64" t="str">
        <f t="shared" si="32"/>
        <v/>
      </c>
      <c r="DG13" s="69"/>
      <c r="DH13" s="59" t="str">
        <f>IF(AND($B$13="M",DG13="WA"),"M",IF(AND($B$13="M",DG13="EXC"),"M",IF(AND($B$13="F",DG13="WA"),"F",IF(AND($B$13="F",DG13="EXC"),"F","-"))))</f>
        <v>-</v>
      </c>
      <c r="DI13" s="61" t="str">
        <f t="shared" si="33"/>
        <v/>
      </c>
      <c r="DJ13" s="69"/>
      <c r="DK13" s="59" t="str">
        <f>IF(AND($B$13="M",DJ13="WA"),"M",IF(AND($B$13="M",DJ13="EXC"),"M",IF(AND($B$13="F",DJ13="WA"),"F",IF(AND($B$13="F",DJ13="EXC"),"F","-"))))</f>
        <v>-</v>
      </c>
      <c r="DL13" s="61" t="str">
        <f t="shared" si="34"/>
        <v/>
      </c>
      <c r="DM13" s="61" t="str">
        <f t="shared" si="35"/>
        <v/>
      </c>
      <c r="DN13" s="65"/>
      <c r="DO13" s="47" t="str">
        <f>IF(AND($B$13="M",DN13="WA"),"M",IF(AND($B$13="M",DN13="EXC"),"M",IF(AND($B$13="F",DN13="WA"),"F",IF(AND($B$13="F",DN13="EXC"),"F","-"))))</f>
        <v>-</v>
      </c>
      <c r="DP13" s="68"/>
      <c r="DQ13" s="66"/>
      <c r="DR13" s="48"/>
      <c r="DS13" s="70"/>
      <c r="DT13" s="59" t="str">
        <f>IF(AND($B$13="M",DS13="WA"),"M",IF(AND($B$13="M",DS13="EXC"),"M",IF(AND($B$13="F",DS13="WA"),"F",IF(AND($B$13="F",DS13="EXC"),"F","-"))))</f>
        <v>-</v>
      </c>
      <c r="DU13" s="64" t="str">
        <f t="shared" si="36"/>
        <v/>
      </c>
      <c r="DV13" s="69"/>
      <c r="DW13" s="59" t="str">
        <f>IF(AND($B$13="M",DV13="WA"),"M",IF(AND($B$13="M",DV13="EXC"),"M",IF(AND($B$13="F",DV13="WA"),"F",IF(AND($B$13="F",DV13="EXC"),"F","-"))))</f>
        <v>-</v>
      </c>
      <c r="DX13" s="64" t="str">
        <f t="shared" si="37"/>
        <v/>
      </c>
      <c r="DY13" s="69"/>
      <c r="DZ13" s="59" t="str">
        <f>IF(AND($B$13="M",DY13="WA"),"M",IF(AND($B$13="M",DY13="EXC"),"M",IF(AND($B$13="F",DY13="WA"),"F",IF(AND($B$13="F",DY13="EXC"),"F","-"))))</f>
        <v>-</v>
      </c>
      <c r="EA13" s="64" t="str">
        <f t="shared" si="38"/>
        <v/>
      </c>
      <c r="EB13" s="69"/>
      <c r="EC13" s="59" t="str">
        <f>IF(AND($B$13="M",EB13="WA"),"M",IF(AND($B$13="M",EB13="EXC"),"M",IF(AND($B$13="F",EB13="WA"),"F",IF(AND($B$13="F",EB13="EXC"),"F","-"))))</f>
        <v>-</v>
      </c>
      <c r="ED13" s="64" t="str">
        <f t="shared" si="39"/>
        <v/>
      </c>
      <c r="EE13" s="69"/>
      <c r="EF13" s="59" t="str">
        <f>IF(AND($B$13="M",EE13="WA"),"M",IF(AND($B$13="M",EE13="EXC"),"M",IF(AND($B$13="F",EE13="WA"),"F",IF(AND($B$13="F",EE13="EXC"),"F","-"))))</f>
        <v>-</v>
      </c>
      <c r="EG13" s="61" t="str">
        <f t="shared" si="40"/>
        <v/>
      </c>
      <c r="EH13" s="69"/>
      <c r="EI13" s="59" t="str">
        <f>IF(AND($B$13="M",EH13="WA"),"M",IF(AND($B$13="M",EH13="EXC"),"M",IF(AND($B$13="F",EH13="WA"),"F",IF(AND($B$13="F",EH13="EXC"),"F","-"))))</f>
        <v>-</v>
      </c>
      <c r="EJ13" s="61" t="str">
        <f t="shared" si="41"/>
        <v/>
      </c>
      <c r="EK13" s="61" t="str">
        <f t="shared" si="42"/>
        <v/>
      </c>
      <c r="EL13" s="65"/>
      <c r="EM13" s="47" t="str">
        <f>IF(AND($B$13="M",EL13="WA"),"M",IF(AND($B$13="M",EL13="EXC"),"M",IF(AND($B$13="F",EL13="WA"),"F",IF(AND($B$13="F",EL13="EXC"),"F","-"))))</f>
        <v>-</v>
      </c>
      <c r="EN13" s="68"/>
      <c r="EO13" s="66"/>
      <c r="EP13" s="48"/>
      <c r="EQ13" s="70"/>
      <c r="ER13" s="59" t="str">
        <f>IF(AND($B$13="M",EQ13="WA"),"M",IF(AND($B$13="M",EQ13="EXC"),"M",IF(AND($B$13="F",EQ13="WA"),"F",IF(AND($B$13="F",EQ13="EXC"),"F","-"))))</f>
        <v>-</v>
      </c>
      <c r="ES13" s="64" t="str">
        <f t="shared" si="43"/>
        <v/>
      </c>
      <c r="ET13" s="69"/>
      <c r="EU13" s="59" t="str">
        <f>IF(AND($B$13="M",ET13="WA"),"M",IF(AND($B$13="M",ET13="EXC"),"M",IF(AND($B$13="F",ET13="WA"),"F",IF(AND($B$13="F",ET13="EXC"),"F","-"))))</f>
        <v>-</v>
      </c>
      <c r="EV13" s="64" t="str">
        <f t="shared" si="44"/>
        <v/>
      </c>
      <c r="EW13" s="69"/>
      <c r="EX13" s="59" t="str">
        <f>IF(AND($B$13="M",EW13="WA"),"M",IF(AND($B$13="M",EW13="EXC"),"M",IF(AND($B$13="F",EW13="WA"),"F",IF(AND($B$13="F",EW13="EXC"),"F","-"))))</f>
        <v>-</v>
      </c>
      <c r="EY13" s="64" t="str">
        <f t="shared" si="45"/>
        <v/>
      </c>
      <c r="EZ13" s="69"/>
      <c r="FA13" s="59" t="str">
        <f>IF(AND($B$13="M",EZ13="WA"),"M",IF(AND($B$13="M",EZ13="EXC"),"M",IF(AND($B$13="F",EZ13="WA"),"F",IF(AND($B$13="F",EZ13="EXC"),"F","-"))))</f>
        <v>-</v>
      </c>
      <c r="FB13" s="64" t="str">
        <f t="shared" si="46"/>
        <v/>
      </c>
      <c r="FC13" s="69"/>
      <c r="FD13" s="59" t="str">
        <f>IF(AND($B$13="M",FC13="WA"),"M",IF(AND($B$13="M",FC13="EXC"),"M",IF(AND($B$13="F",FC13="WA"),"F",IF(AND($B$13="F",FC13="EXC"),"F","-"))))</f>
        <v>-</v>
      </c>
      <c r="FE13" s="61" t="str">
        <f t="shared" si="47"/>
        <v/>
      </c>
      <c r="FF13" s="69"/>
      <c r="FG13" s="59" t="str">
        <f>IF(AND($B$13="M",FF13="WA"),"M",IF(AND($B$13="M",FF13="EXC"),"M",IF(AND($B$13="F",FF13="WA"),"F",IF(AND($B$13="F",FF13="EXC"),"F","-"))))</f>
        <v>-</v>
      </c>
      <c r="FH13" s="61" t="str">
        <f t="shared" si="48"/>
        <v/>
      </c>
      <c r="FI13" s="61" t="str">
        <f t="shared" si="49"/>
        <v/>
      </c>
      <c r="FJ13" s="65"/>
      <c r="FK13" s="47" t="str">
        <f>IF(AND($B$13="M",FJ13="WA"),"M",IF(AND($B$13="M",FJ13="EXC"),"M",IF(AND($B$13="F",FJ13="WA"),"F",IF(AND($B$13="F",FJ13="EXC"),"F","-"))))</f>
        <v>-</v>
      </c>
      <c r="FL13" s="68"/>
      <c r="FM13" s="66"/>
      <c r="FN13" s="48"/>
      <c r="FO13" s="70"/>
      <c r="FP13" s="59" t="str">
        <f>IF(AND($B$13="M",FO13="WA"),"M",IF(AND($B$13="M",FO13="EXC"),"M",IF(AND($B$13="F",FO13="WA"),"F",IF(AND($B$13="F",FO13="EXC"),"F","-"))))</f>
        <v>-</v>
      </c>
      <c r="FQ13" s="64" t="str">
        <f t="shared" si="50"/>
        <v/>
      </c>
      <c r="FR13" s="69"/>
      <c r="FS13" s="59" t="str">
        <f>IF(AND($B$13="M",FR13="WA"),"M",IF(AND($B$13="M",FR13="EXC"),"M",IF(AND($B$13="F",FR13="WA"),"F",IF(AND($B$13="F",FR13="EXC"),"F","-"))))</f>
        <v>-</v>
      </c>
      <c r="FT13" s="64" t="str">
        <f t="shared" si="51"/>
        <v/>
      </c>
      <c r="FU13" s="69"/>
      <c r="FV13" s="59" t="str">
        <f>IF(AND($B$13="M",FU13="WA"),"M",IF(AND($B$13="M",FU13="EXC"),"M",IF(AND($B$13="F",FU13="WA"),"F",IF(AND($B$13="F",FU13="EXC"),"F","-"))))</f>
        <v>-</v>
      </c>
      <c r="FW13" s="64" t="str">
        <f t="shared" si="52"/>
        <v/>
      </c>
      <c r="FX13" s="69"/>
      <c r="FY13" s="59" t="str">
        <f>IF(AND($B$13="M",FX13="WA"),"M",IF(AND($B$13="M",FX13="EXC"),"M",IF(AND($B$13="F",FX13="WA"),"F",IF(AND($B$13="F",FX13="EXC"),"F","-"))))</f>
        <v>-</v>
      </c>
      <c r="FZ13" s="64" t="str">
        <f t="shared" si="53"/>
        <v/>
      </c>
      <c r="GA13" s="69"/>
      <c r="GB13" s="59" t="str">
        <f>IF(AND($B$13="M",GA13="WA"),"M",IF(AND($B$13="M",GA13="EXC"),"M",IF(AND($B$13="F",GA13="WA"),"F",IF(AND($B$13="F",GA13="EXC"),"F","-"))))</f>
        <v>-</v>
      </c>
      <c r="GC13" s="61" t="str">
        <f t="shared" si="54"/>
        <v/>
      </c>
      <c r="GD13" s="69"/>
      <c r="GE13" s="59" t="str">
        <f>IF(AND($B$13="M",GD13="WA"),"M",IF(AND($B$13="M",GD13="EXC"),"M",IF(AND($B$13="F",GD13="WA"),"F",IF(AND($B$13="F",GD13="EXC"),"F","-"))))</f>
        <v>-</v>
      </c>
      <c r="GF13" s="61" t="str">
        <f t="shared" si="55"/>
        <v/>
      </c>
      <c r="GG13" s="61" t="str">
        <f t="shared" si="56"/>
        <v/>
      </c>
      <c r="GH13" s="65"/>
      <c r="GI13" s="47" t="str">
        <f>IF(AND($B$13="M",GH13="WA"),"M",IF(AND($B$13="M",GH13="EXC"),"M",IF(AND($B$13="F",GH13="WA"),"F",IF(AND($B$13="F",GH13="EXC"),"F","-"))))</f>
        <v>-</v>
      </c>
      <c r="GJ13" s="68"/>
      <c r="GK13" s="66"/>
      <c r="GL13" s="48"/>
      <c r="GM13" s="70"/>
      <c r="GN13" s="59" t="str">
        <f>IF(AND($B$13="M",GM13="WA"),"M",IF(AND($B$13="M",GM13="EXC"),"M",IF(AND($B$13="F",GM13="WA"),"F",IF(AND($B$13="F",GM13="EXC"),"F","-"))))</f>
        <v>-</v>
      </c>
      <c r="GO13" s="64" t="str">
        <f t="shared" si="57"/>
        <v/>
      </c>
      <c r="GP13" s="69"/>
      <c r="GQ13" s="59" t="str">
        <f>IF(AND($B$13="M",GP13="WA"),"M",IF(AND($B$13="M",GP13="EXC"),"M",IF(AND($B$13="F",GP13="WA"),"F",IF(AND($B$13="F",GP13="EXC"),"F","-"))))</f>
        <v>-</v>
      </c>
      <c r="GR13" s="64" t="str">
        <f t="shared" si="58"/>
        <v/>
      </c>
      <c r="GS13" s="69"/>
      <c r="GT13" s="59" t="str">
        <f>IF(AND($B$13="M",GS13="WA"),"M",IF(AND($B$13="M",GS13="EXC"),"M",IF(AND($B$13="F",GS13="WA"),"F",IF(AND($B$13="F",GS13="EXC"),"F","-"))))</f>
        <v>-</v>
      </c>
      <c r="GU13" s="64" t="str">
        <f t="shared" si="59"/>
        <v/>
      </c>
      <c r="GV13" s="61" t="str">
        <f t="shared" si="60"/>
        <v/>
      </c>
      <c r="GW13" s="65"/>
      <c r="GX13" s="47" t="str">
        <f>IF(AND($B$13="M",GW13="WA"),"M",IF(AND($B$13="M",GW13="EXC"),"M",IF(AND($B$13="F",GW13="WA"),"F",IF(AND($B$13="F",GW13="EXC"),"F","-"))))</f>
        <v>-</v>
      </c>
      <c r="GY13" s="68"/>
      <c r="GZ13" s="66"/>
      <c r="HA13" s="48"/>
      <c r="HB13" s="70"/>
      <c r="HC13" s="59" t="str">
        <f>IF(AND($B$13="M",HB13="WA"),"M",IF(AND($B$13="M",HB13="EXC"),"M",IF(AND($B$13="F",HB13="WA"),"F",IF(AND($B$13="F",HB13="EXC"),"F","-"))))</f>
        <v>-</v>
      </c>
      <c r="HD13" s="64" t="str">
        <f t="shared" si="61"/>
        <v/>
      </c>
      <c r="HE13" s="69"/>
      <c r="HF13" s="59" t="str">
        <f>IF(AND($B$13="M",HE13="WA"),"M",IF(AND($B$13="M",HE13="EXC"),"M",IF(AND($B$13="F",HE13="WA"),"F",IF(AND($B$13="F",HE13="EXC"),"F","-"))))</f>
        <v>-</v>
      </c>
      <c r="HG13" s="64" t="str">
        <f t="shared" si="62"/>
        <v/>
      </c>
      <c r="HH13" s="69"/>
      <c r="HI13" s="59" t="str">
        <f>IF(AND($B$13="M",HH13="WA"),"M",IF(AND($B$13="M",HH13="EXC"),"M",IF(AND($B$13="F",HH13="WA"),"F",IF(AND($B$13="F",HH13="EXC"),"F","-"))))</f>
        <v>-</v>
      </c>
      <c r="HJ13" s="64" t="str">
        <f t="shared" si="63"/>
        <v/>
      </c>
      <c r="HK13" s="61" t="str">
        <f t="shared" si="64"/>
        <v/>
      </c>
      <c r="HL13" s="65"/>
      <c r="HM13" s="47" t="str">
        <f>IF(AND($B$13="M",HL13="WA"),"M",IF(AND($B$13="M",HL13="EXC"),"M",IF(AND($B$13="F",HL13="WA"),"F",IF(AND($B$13="F",HL13="EXC"),"F","-"))))</f>
        <v>-</v>
      </c>
      <c r="HN13" s="13"/>
      <c r="HO13" s="14"/>
      <c r="HP13" s="15"/>
      <c r="HQ13" s="54"/>
      <c r="HR13" s="55" t="str">
        <f>IF(AND($B$13="M",HQ13="WA"),"M",IF(AND($B$13="M",HQ13="EXC"),"M",IF(AND($B$13="F",HQ13="WA"),"F",IF(AND($B$13="F",HQ13="EXC"),"F","-"))))</f>
        <v>-</v>
      </c>
      <c r="HS13" s="56" t="str">
        <f t="shared" si="65"/>
        <v/>
      </c>
      <c r="HT13" s="54"/>
      <c r="HU13" s="55" t="str">
        <f>IF(AND($B$13="M",HT13="WA"),"M",IF(AND($B$13="M",HT13="EXC"),"M",IF(AND($B$13="F",HT13="WA"),"F",IF(AND($B$13="F",HT13="EXC"),"F","-"))))</f>
        <v>-</v>
      </c>
      <c r="HV13" s="56" t="str">
        <f t="shared" si="66"/>
        <v/>
      </c>
      <c r="HW13" s="54"/>
      <c r="HX13" s="55" t="str">
        <f>IF(AND($B$13="M",HW13="WA"),"M",IF(AND($B$13="M",HW13="EXC"),"M",IF(AND($B$13="F",HW13="WA"),"F",IF(AND($B$13="F",HW13="EXC"),"F","-"))))</f>
        <v>-</v>
      </c>
      <c r="HY13" s="56" t="str">
        <f t="shared" si="67"/>
        <v/>
      </c>
      <c r="HZ13" s="54" t="str">
        <f t="shared" si="68"/>
        <v/>
      </c>
      <c r="IA13" s="67"/>
      <c r="IB13" s="55" t="str">
        <f>IF(AND($B$13="M",IA13="WA"),"M",IF(AND($B$13="M",IA13="EXC"),"M",IF(AND($B$13="F",IA13="WA"),"F",IF(AND($B$13="F",IA13="EXC"),"F","-"))))</f>
        <v>-</v>
      </c>
      <c r="IC13" s="17"/>
    </row>
    <row r="14">
      <c r="A14" s="40"/>
      <c r="B14" s="41"/>
      <c r="C14" s="69"/>
      <c r="D14" s="59" t="str">
        <f>IF(AND($B$14="M",C14="WA"),"M",IF(AND($B$14="M",C14="EXC"),"M",IF(AND($B$14="F",C14="WA"),"F",IF(AND($B$14="F",C14="EXC"),"F","-"))))</f>
        <v>-</v>
      </c>
      <c r="E14" s="60" t="str">
        <f t="shared" si="1"/>
        <v/>
      </c>
      <c r="F14" s="69"/>
      <c r="G14" s="59" t="str">
        <f>IF(AND($B$14="M",F14="WA"),"M",IF(AND($B$14="M",F14="EXC"),"M",IF(AND($B$14="F",F14="WA"),"F",IF(AND($B$14="F",F14="EXC"),"F","-"))))</f>
        <v>-</v>
      </c>
      <c r="H14" s="60" t="str">
        <f t="shared" si="2"/>
        <v/>
      </c>
      <c r="I14" s="69"/>
      <c r="J14" s="59" t="str">
        <f>IF(AND($B$14="M",I14="WA"),"M",IF(AND($B$14="M",I14="EXC"),"M",IF(AND($B$14="F",I14="WA"),"F",IF(AND($B$14="F",I14="EXC"),"F","-"))))</f>
        <v>-</v>
      </c>
      <c r="K14" s="60" t="str">
        <f t="shared" si="3"/>
        <v/>
      </c>
      <c r="L14" s="69"/>
      <c r="M14" s="59" t="str">
        <f>IF(AND($B$14="M",L14="WA"),"M",IF(AND($B$14="M",L14="EXC"),"M",IF(AND($B$14="F",L14="WA"),"F",IF(AND($B$14="F",L14="EXC"),"F","-"))))</f>
        <v>-</v>
      </c>
      <c r="N14" s="60" t="str">
        <f t="shared" si="4"/>
        <v/>
      </c>
      <c r="O14" s="69"/>
      <c r="P14" s="59" t="str">
        <f>IF(AND($B$14="M",O14="WA"),"M",IF(AND($B$14="M",O14="EXC"),"M",IF(AND($B$14="F",O14="WA"),"F",IF(AND($B$14="F",O14="EXC"),"F","-"))))</f>
        <v>-</v>
      </c>
      <c r="Q14" s="60" t="str">
        <f t="shared" si="5"/>
        <v/>
      </c>
      <c r="R14" s="69"/>
      <c r="S14" s="59" t="str">
        <f>IF(AND($B$14="M",R14="WA"),"M",IF(AND($B$14="M",R14="EXC"),"M",IF(AND($B$14="F",R14="WA"),"F",IF(AND($B$14="F",R14="EXC"),"F","-"))))</f>
        <v>-</v>
      </c>
      <c r="T14" s="60" t="str">
        <f t="shared" si="6"/>
        <v/>
      </c>
      <c r="U14" s="61" t="str">
        <f t="shared" si="7"/>
        <v/>
      </c>
      <c r="V14" s="62"/>
      <c r="W14" s="47" t="str">
        <f>IF(AND($B$14="M",V14="WA"),"M",IF(AND($B$14="M",V14="EXC"),"M",IF(AND($B$14="F",V14="WA"),"F",IF(AND($B$14="F",V14="EXC"),"F","-"))))</f>
        <v>-</v>
      </c>
      <c r="X14" s="48"/>
      <c r="Y14" s="49"/>
      <c r="Z14" s="48"/>
      <c r="AA14" s="70"/>
      <c r="AB14" s="59" t="str">
        <f>IF(AND($B$14="M",AA14="WA"),"M",IF(AND($B$14="M",AA14="EXC"),"M",IF(AND($B$14="F",AA14="WA"),"F",IF(AND($B$14="F",AA14="EXC"),"F","-"))))</f>
        <v>-</v>
      </c>
      <c r="AC14" s="64" t="str">
        <f t="shared" si="8"/>
        <v/>
      </c>
      <c r="AD14" s="69"/>
      <c r="AE14" s="59" t="str">
        <f>IF(AND($B$14="M",AD14="WA"),"M",IF(AND($B$14="M",AD14="EXC"),"M",IF(AND($B$14="F",AD14="WA"),"F",IF(AND($B$14="F",AD14="EXC"),"F","-"))))</f>
        <v>-</v>
      </c>
      <c r="AF14" s="64" t="str">
        <f t="shared" si="9"/>
        <v/>
      </c>
      <c r="AG14" s="69"/>
      <c r="AH14" s="59" t="str">
        <f>IF(AND($B$14="M",AG14="WA"),"M",IF(AND($B$14="M",AG14="EXC"),"M",IF(AND($B$14="F",AG14="WA"),"F",IF(AND($B$14="F",AG14="EXC"),"F","-"))))</f>
        <v>-</v>
      </c>
      <c r="AI14" s="64" t="str">
        <f t="shared" si="10"/>
        <v/>
      </c>
      <c r="AJ14" s="69"/>
      <c r="AK14" s="59" t="str">
        <f>IF(AND($B$14="M",AJ14="WA"),"M",IF(AND($B$14="M",AJ14="EXC"),"M",IF(AND($B$14="F",AJ14="WA"),"F",IF(AND($B$14="F",AJ14="EXC"),"F","-"))))</f>
        <v>-</v>
      </c>
      <c r="AL14" s="64" t="str">
        <f t="shared" si="11"/>
        <v/>
      </c>
      <c r="AM14" s="69"/>
      <c r="AN14" s="59" t="str">
        <f>IF(AND($B$14="M",AM14="WA"),"M",IF(AND($B$14="M",AM14="EXC"),"M",IF(AND($B$14="F",AM14="WA"),"F",IF(AND($B$14="F",AM14="EXC"),"F","-"))))</f>
        <v>-</v>
      </c>
      <c r="AO14" s="61" t="str">
        <f t="shared" si="12"/>
        <v/>
      </c>
      <c r="AP14" s="69"/>
      <c r="AQ14" s="59" t="str">
        <f>IF(AND($B$14="M",AP14="WA"),"M",IF(AND($B$14="M",AP14="EXC"),"M",IF(AND($B$14="F",AP14="WA"),"F",IF(AND($B$14="F",AP14="EXC"),"F","-"))))</f>
        <v>-</v>
      </c>
      <c r="AR14" s="61" t="str">
        <f t="shared" si="13"/>
        <v/>
      </c>
      <c r="AS14" s="61" t="str">
        <f t="shared" si="14"/>
        <v/>
      </c>
      <c r="AT14" s="65"/>
      <c r="AU14" s="47" t="str">
        <f>IF(AND($B$14="M",AT14="WA"),"M",IF(AND($B$14="M",AT14="EXC"),"M",IF(AND($B$14="F",AT14="WA"),"F",IF(AND($B$14="F",AT14="EXC"),"F","-"))))</f>
        <v>-</v>
      </c>
      <c r="AV14" s="68"/>
      <c r="AW14" s="66"/>
      <c r="AX14" s="48"/>
      <c r="AY14" s="70"/>
      <c r="AZ14" s="59" t="str">
        <f>IF(AND($B$14="M",AY14="WA"),"M",IF(AND($B$14="M",AY14="EXC"),"M",IF(AND($B$14="F",AY14="WA"),"F",IF(AND($B$14="F",AY14="EXC"),"F","-"))))</f>
        <v>-</v>
      </c>
      <c r="BA14" s="64" t="str">
        <f t="shared" si="15"/>
        <v/>
      </c>
      <c r="BB14" s="69"/>
      <c r="BC14" s="59" t="str">
        <f>IF(AND($B$14="M",BB14="WA"),"M",IF(AND($B$14="M",BB14="EXC"),"M",IF(AND($B$14="F",BB14="WA"),"F",IF(AND($B$14="F",BB14="EXC"),"F","-"))))</f>
        <v>-</v>
      </c>
      <c r="BD14" s="64" t="str">
        <f t="shared" si="16"/>
        <v/>
      </c>
      <c r="BE14" s="69"/>
      <c r="BF14" s="59" t="str">
        <f>IF(AND($B$14="M",BE14="WA"),"M",IF(AND($B$14="M",BE14="EXC"),"M",IF(AND($B$14="F",BE14="WA"),"F",IF(AND($B$14="F",BE14="EXC"),"F","-"))))</f>
        <v>-</v>
      </c>
      <c r="BG14" s="64" t="str">
        <f t="shared" si="17"/>
        <v/>
      </c>
      <c r="BH14" s="69"/>
      <c r="BI14" s="59" t="str">
        <f>IF(AND($B$14="M",BH14="WA"),"M",IF(AND($B$14="M",BH14="EXC"),"M",IF(AND($B$14="F",BH14="WA"),"F",IF(AND($B$14="F",BH14="EXC"),"F","-"))))</f>
        <v>-</v>
      </c>
      <c r="BJ14" s="64" t="str">
        <f t="shared" si="18"/>
        <v/>
      </c>
      <c r="BK14" s="69"/>
      <c r="BL14" s="59" t="str">
        <f>IF(AND($B$14="M",BK14="WA"),"M",IF(AND($B$14="M",BK14="EXC"),"M",IF(AND($B$14="F",BK14="WA"),"F",IF(AND($B$14="F",BK14="EXC"),"F","-"))))</f>
        <v>-</v>
      </c>
      <c r="BM14" s="61" t="str">
        <f t="shared" si="19"/>
        <v/>
      </c>
      <c r="BN14" s="69"/>
      <c r="BO14" s="59" t="str">
        <f>IF(AND($B$14="M",BN14="WA"),"M",IF(AND($B$14="M",BN14="EXC"),"M",IF(AND($B$14="F",BN14="WA"),"F",IF(AND($B$14="F",BN14="EXC"),"F","-"))))</f>
        <v>-</v>
      </c>
      <c r="BP14" s="61" t="str">
        <f t="shared" si="20"/>
        <v/>
      </c>
      <c r="BQ14" s="61" t="str">
        <f t="shared" si="21"/>
        <v/>
      </c>
      <c r="BR14" s="65"/>
      <c r="BS14" s="47" t="str">
        <f>IF(AND($B$14="M",BR14="WA"),"M",IF(AND($B$14="M",BR14="EXC"),"M",IF(AND($B$14="F",BR14="WA"),"F",IF(AND($B$14="F",BR14="EXC"),"F","-"))))</f>
        <v>-</v>
      </c>
      <c r="BT14" s="68"/>
      <c r="BU14" s="66"/>
      <c r="BV14" s="48"/>
      <c r="BW14" s="70"/>
      <c r="BX14" s="59" t="str">
        <f>IF(AND($B$14="M",BW14="WA"),"M",IF(AND($B$14="M",BW14="EXC"),"M",IF(AND($B$14="F",BW14="WA"),"F",IF(AND($B$14="F",BW14="EXC"),"F","-"))))</f>
        <v>-</v>
      </c>
      <c r="BY14" s="64" t="str">
        <f t="shared" si="22"/>
        <v/>
      </c>
      <c r="BZ14" s="69"/>
      <c r="CA14" s="59" t="str">
        <f>IF(AND($B$14="M",BZ14="WA"),"M",IF(AND($B$14="M",BZ14="EXC"),"M",IF(AND($B$14="F",BZ14="WA"),"F",IF(AND($B$14="F",BZ14="EXC"),"F","-"))))</f>
        <v>-</v>
      </c>
      <c r="CB14" s="64" t="str">
        <f t="shared" si="23"/>
        <v/>
      </c>
      <c r="CC14" s="69"/>
      <c r="CD14" s="59" t="str">
        <f>IF(AND($B$14="M",CC14="WA"),"M",IF(AND($B$14="M",CC14="EXC"),"M",IF(AND($B$14="F",CC14="WA"),"F",IF(AND($B$14="F",CC14="EXC"),"F","-"))))</f>
        <v>-</v>
      </c>
      <c r="CE14" s="64" t="str">
        <f t="shared" si="24"/>
        <v/>
      </c>
      <c r="CF14" s="69"/>
      <c r="CG14" s="59" t="str">
        <f>IF(AND($B$14="M",CF14="WA"),"M",IF(AND($B$14="M",CF14="EXC"),"M",IF(AND($B$14="F",CF14="WA"),"F",IF(AND($B$14="F",CF14="EXC"),"F","-"))))</f>
        <v>-</v>
      </c>
      <c r="CH14" s="64" t="str">
        <f t="shared" si="25"/>
        <v/>
      </c>
      <c r="CI14" s="69"/>
      <c r="CJ14" s="59" t="str">
        <f>IF(AND($B$14="M",CI14="WA"),"M",IF(AND($B$14="M",CI14="EXC"),"M",IF(AND($B$14="F",CI14="WA"),"F",IF(AND($B$14="F",CI14="EXC"),"F","-"))))</f>
        <v>-</v>
      </c>
      <c r="CK14" s="61" t="str">
        <f t="shared" si="26"/>
        <v/>
      </c>
      <c r="CL14" s="69"/>
      <c r="CM14" s="59" t="str">
        <f>IF(AND($B$14="M",CL14="WA"),"M",IF(AND($B$14="M",CL14="EXC"),"M",IF(AND($B$14="F",CL14="WA"),"F",IF(AND($B$14="F",CL14="EXC"),"F","-"))))</f>
        <v>-</v>
      </c>
      <c r="CN14" s="61" t="str">
        <f t="shared" si="27"/>
        <v/>
      </c>
      <c r="CO14" s="61" t="str">
        <f t="shared" si="28"/>
        <v/>
      </c>
      <c r="CP14" s="65"/>
      <c r="CQ14" s="47" t="str">
        <f>IF(AND($B$14="M",CP14="WA"),"M",IF(AND($B$14="M",CP14="EXC"),"M",IF(AND($B$14="F",CP14="WA"),"F",IF(AND($B$14="F",CP14="EXC"),"F","-"))))</f>
        <v>-</v>
      </c>
      <c r="CR14" s="68"/>
      <c r="CS14" s="66"/>
      <c r="CT14" s="48"/>
      <c r="CU14" s="70"/>
      <c r="CV14" s="59" t="str">
        <f>IF(AND($B$14="M",CU14="WA"),"M",IF(AND($B$14="M",CU14="EXC"),"M",IF(AND($B$14="F",CU14="WA"),"F",IF(AND($B$14="F",CU14="EXC"),"F","-"))))</f>
        <v>-</v>
      </c>
      <c r="CW14" s="64" t="str">
        <f t="shared" si="29"/>
        <v/>
      </c>
      <c r="CX14" s="69"/>
      <c r="CY14" s="59" t="str">
        <f>IF(AND($B$14="M",CX14="WA"),"M",IF(AND($B$14="M",CX14="EXC"),"M",IF(AND($B$14="F",CX14="WA"),"F",IF(AND($B$14="F",CX14="EXC"),"F","-"))))</f>
        <v>-</v>
      </c>
      <c r="CZ14" s="64" t="str">
        <f t="shared" si="30"/>
        <v/>
      </c>
      <c r="DA14" s="69"/>
      <c r="DB14" s="59" t="str">
        <f>IF(AND($B$14="M",DA14="WA"),"M",IF(AND($B$14="M",DA14="EXC"),"M",IF(AND($B$14="F",DA14="WA"),"F",IF(AND($B$14="F",DA14="EXC"),"F","-"))))</f>
        <v>-</v>
      </c>
      <c r="DC14" s="64" t="str">
        <f t="shared" si="31"/>
        <v/>
      </c>
      <c r="DD14" s="69"/>
      <c r="DE14" s="59" t="str">
        <f>IF(AND($B$14="M",DD14="WA"),"M",IF(AND($B$14="M",DD14="EXC"),"M",IF(AND($B$14="F",DD14="WA"),"F",IF(AND($B$14="F",DD14="EXC"),"F","-"))))</f>
        <v>-</v>
      </c>
      <c r="DF14" s="64" t="str">
        <f t="shared" si="32"/>
        <v/>
      </c>
      <c r="DG14" s="69"/>
      <c r="DH14" s="59" t="str">
        <f>IF(AND($B$14="M",DG14="WA"),"M",IF(AND($B$14="M",DG14="EXC"),"M",IF(AND($B$14="F",DG14="WA"),"F",IF(AND($B$14="F",DG14="EXC"),"F","-"))))</f>
        <v>-</v>
      </c>
      <c r="DI14" s="61" t="str">
        <f t="shared" si="33"/>
        <v/>
      </c>
      <c r="DJ14" s="69"/>
      <c r="DK14" s="59" t="str">
        <f>IF(AND($B$14="M",DJ14="WA"),"M",IF(AND($B$14="M",DJ14="EXC"),"M",IF(AND($B$14="F",DJ14="WA"),"F",IF(AND($B$14="F",DJ14="EXC"),"F","-"))))</f>
        <v>-</v>
      </c>
      <c r="DL14" s="61" t="str">
        <f t="shared" si="34"/>
        <v/>
      </c>
      <c r="DM14" s="61" t="str">
        <f t="shared" si="35"/>
        <v/>
      </c>
      <c r="DN14" s="65"/>
      <c r="DO14" s="47" t="str">
        <f>IF(AND($B$14="M",DN14="WA"),"M",IF(AND($B$14="M",DN14="EXC"),"M",IF(AND($B$14="F",DN14="WA"),"F",IF(AND($B$14="F",DN14="EXC"),"F","-"))))</f>
        <v>-</v>
      </c>
      <c r="DP14" s="68"/>
      <c r="DQ14" s="66"/>
      <c r="DR14" s="48"/>
      <c r="DS14" s="70"/>
      <c r="DT14" s="59" t="str">
        <f>IF(AND($B$14="M",DS14="WA"),"M",IF(AND($B$14="M",DS14="EXC"),"M",IF(AND($B$14="F",DS14="WA"),"F",IF(AND($B$14="F",DS14="EXC"),"F","-"))))</f>
        <v>-</v>
      </c>
      <c r="DU14" s="64" t="str">
        <f t="shared" si="36"/>
        <v/>
      </c>
      <c r="DV14" s="69"/>
      <c r="DW14" s="59" t="str">
        <f>IF(AND($B$14="M",DV14="WA"),"M",IF(AND($B$14="M",DV14="EXC"),"M",IF(AND($B$14="F",DV14="WA"),"F",IF(AND($B$14="F",DV14="EXC"),"F","-"))))</f>
        <v>-</v>
      </c>
      <c r="DX14" s="64" t="str">
        <f t="shared" si="37"/>
        <v/>
      </c>
      <c r="DY14" s="69"/>
      <c r="DZ14" s="59" t="str">
        <f>IF(AND($B$14="M",DY14="WA"),"M",IF(AND($B$14="M",DY14="EXC"),"M",IF(AND($B$14="F",DY14="WA"),"F",IF(AND($B$14="F",DY14="EXC"),"F","-"))))</f>
        <v>-</v>
      </c>
      <c r="EA14" s="64" t="str">
        <f t="shared" si="38"/>
        <v/>
      </c>
      <c r="EB14" s="69"/>
      <c r="EC14" s="59" t="str">
        <f>IF(AND($B$14="M",EB14="WA"),"M",IF(AND($B$14="M",EB14="EXC"),"M",IF(AND($B$14="F",EB14="WA"),"F",IF(AND($B$14="F",EB14="EXC"),"F","-"))))</f>
        <v>-</v>
      </c>
      <c r="ED14" s="64" t="str">
        <f t="shared" si="39"/>
        <v/>
      </c>
      <c r="EE14" s="69"/>
      <c r="EF14" s="59" t="str">
        <f>IF(AND($B$14="M",EE14="WA"),"M",IF(AND($B$14="M",EE14="EXC"),"M",IF(AND($B$14="F",EE14="WA"),"F",IF(AND($B$14="F",EE14="EXC"),"F","-"))))</f>
        <v>-</v>
      </c>
      <c r="EG14" s="61" t="str">
        <f t="shared" si="40"/>
        <v/>
      </c>
      <c r="EH14" s="69"/>
      <c r="EI14" s="59" t="str">
        <f>IF(AND($B$14="M",EH14="WA"),"M",IF(AND($B$14="M",EH14="EXC"),"M",IF(AND($B$14="F",EH14="WA"),"F",IF(AND($B$14="F",EH14="EXC"),"F","-"))))</f>
        <v>-</v>
      </c>
      <c r="EJ14" s="61" t="str">
        <f t="shared" si="41"/>
        <v/>
      </c>
      <c r="EK14" s="61" t="str">
        <f t="shared" si="42"/>
        <v/>
      </c>
      <c r="EL14" s="65"/>
      <c r="EM14" s="47" t="str">
        <f>IF(AND($B$14="M",EL14="WA"),"M",IF(AND($B$14="M",EL14="EXC"),"M",IF(AND($B$14="F",EL14="WA"),"F",IF(AND($B$14="F",EL14="EXC"),"F","-"))))</f>
        <v>-</v>
      </c>
      <c r="EN14" s="68"/>
      <c r="EO14" s="66"/>
      <c r="EP14" s="48"/>
      <c r="EQ14" s="70"/>
      <c r="ER14" s="59" t="str">
        <f>IF(AND($B$14="M",EQ14="WA"),"M",IF(AND($B$14="M",EQ14="EXC"),"M",IF(AND($B$14="F",EQ14="WA"),"F",IF(AND($B$14="F",EQ14="EXC"),"F","-"))))</f>
        <v>-</v>
      </c>
      <c r="ES14" s="64" t="str">
        <f t="shared" si="43"/>
        <v/>
      </c>
      <c r="ET14" s="69"/>
      <c r="EU14" s="59" t="str">
        <f>IF(AND($B$14="M",ET14="WA"),"M",IF(AND($B$14="M",ET14="EXC"),"M",IF(AND($B$14="F",ET14="WA"),"F",IF(AND($B$14="F",ET14="EXC"),"F","-"))))</f>
        <v>-</v>
      </c>
      <c r="EV14" s="64" t="str">
        <f t="shared" si="44"/>
        <v/>
      </c>
      <c r="EW14" s="69"/>
      <c r="EX14" s="59" t="str">
        <f>IF(AND($B$14="M",EW14="WA"),"M",IF(AND($B$14="M",EW14="EXC"),"M",IF(AND($B$14="F",EW14="WA"),"F",IF(AND($B$14="F",EW14="EXC"),"F","-"))))</f>
        <v>-</v>
      </c>
      <c r="EY14" s="64" t="str">
        <f t="shared" si="45"/>
        <v/>
      </c>
      <c r="EZ14" s="69"/>
      <c r="FA14" s="59" t="str">
        <f>IF(AND($B$14="M",EZ14="WA"),"M",IF(AND($B$14="M",EZ14="EXC"),"M",IF(AND($B$14="F",EZ14="WA"),"F",IF(AND($B$14="F",EZ14="EXC"),"F","-"))))</f>
        <v>-</v>
      </c>
      <c r="FB14" s="64" t="str">
        <f t="shared" si="46"/>
        <v/>
      </c>
      <c r="FC14" s="69"/>
      <c r="FD14" s="59" t="str">
        <f>IF(AND($B$14="M",FC14="WA"),"M",IF(AND($B$14="M",FC14="EXC"),"M",IF(AND($B$14="F",FC14="WA"),"F",IF(AND($B$14="F",FC14="EXC"),"F","-"))))</f>
        <v>-</v>
      </c>
      <c r="FE14" s="61" t="str">
        <f t="shared" si="47"/>
        <v/>
      </c>
      <c r="FF14" s="69"/>
      <c r="FG14" s="59" t="str">
        <f>IF(AND($B$14="M",FF14="WA"),"M",IF(AND($B$14="M",FF14="EXC"),"M",IF(AND($B$14="F",FF14="WA"),"F",IF(AND($B$14="F",FF14="EXC"),"F","-"))))</f>
        <v>-</v>
      </c>
      <c r="FH14" s="61" t="str">
        <f t="shared" si="48"/>
        <v/>
      </c>
      <c r="FI14" s="61" t="str">
        <f t="shared" si="49"/>
        <v/>
      </c>
      <c r="FJ14" s="65"/>
      <c r="FK14" s="47" t="str">
        <f>IF(AND($B$14="M",FJ14="WA"),"M",IF(AND($B$14="M",FJ14="EXC"),"M",IF(AND($B$14="F",FJ14="WA"),"F",IF(AND($B$14="F",FJ14="EXC"),"F","-"))))</f>
        <v>-</v>
      </c>
      <c r="FL14" s="68"/>
      <c r="FM14" s="66"/>
      <c r="FN14" s="48"/>
      <c r="FO14" s="70"/>
      <c r="FP14" s="59" t="str">
        <f>IF(AND($B$14="M",FO14="WA"),"M",IF(AND($B$14="M",FO14="EXC"),"M",IF(AND($B$14="F",FO14="WA"),"F",IF(AND($B$14="F",FO14="EXC"),"F","-"))))</f>
        <v>-</v>
      </c>
      <c r="FQ14" s="64" t="str">
        <f t="shared" si="50"/>
        <v/>
      </c>
      <c r="FR14" s="69"/>
      <c r="FS14" s="59" t="str">
        <f>IF(AND($B$14="M",FR14="WA"),"M",IF(AND($B$14="M",FR14="EXC"),"M",IF(AND($B$14="F",FR14="WA"),"F",IF(AND($B$14="F",FR14="EXC"),"F","-"))))</f>
        <v>-</v>
      </c>
      <c r="FT14" s="64" t="str">
        <f t="shared" si="51"/>
        <v/>
      </c>
      <c r="FU14" s="69"/>
      <c r="FV14" s="59" t="str">
        <f>IF(AND($B$14="M",FU14="WA"),"M",IF(AND($B$14="M",FU14="EXC"),"M",IF(AND($B$14="F",FU14="WA"),"F",IF(AND($B$14="F",FU14="EXC"),"F","-"))))</f>
        <v>-</v>
      </c>
      <c r="FW14" s="64" t="str">
        <f t="shared" si="52"/>
        <v/>
      </c>
      <c r="FX14" s="69"/>
      <c r="FY14" s="59" t="str">
        <f>IF(AND($B$14="M",FX14="WA"),"M",IF(AND($B$14="M",FX14="EXC"),"M",IF(AND($B$14="F",FX14="WA"),"F",IF(AND($B$14="F",FX14="EXC"),"F","-"))))</f>
        <v>-</v>
      </c>
      <c r="FZ14" s="64" t="str">
        <f t="shared" si="53"/>
        <v/>
      </c>
      <c r="GA14" s="69"/>
      <c r="GB14" s="59" t="str">
        <f>IF(AND($B$14="M",GA14="WA"),"M",IF(AND($B$14="M",GA14="EXC"),"M",IF(AND($B$14="F",GA14="WA"),"F",IF(AND($B$14="F",GA14="EXC"),"F","-"))))</f>
        <v>-</v>
      </c>
      <c r="GC14" s="61" t="str">
        <f t="shared" si="54"/>
        <v/>
      </c>
      <c r="GD14" s="69"/>
      <c r="GE14" s="59" t="str">
        <f>IF(AND($B$14="M",GD14="WA"),"M",IF(AND($B$14="M",GD14="EXC"),"M",IF(AND($B$14="F",GD14="WA"),"F",IF(AND($B$14="F",GD14="EXC"),"F","-"))))</f>
        <v>-</v>
      </c>
      <c r="GF14" s="61" t="str">
        <f t="shared" si="55"/>
        <v/>
      </c>
      <c r="GG14" s="61" t="str">
        <f t="shared" si="56"/>
        <v/>
      </c>
      <c r="GH14" s="65"/>
      <c r="GI14" s="47" t="str">
        <f>IF(AND($B$14="M",GH14="WA"),"M",IF(AND($B$14="M",GH14="EXC"),"M",IF(AND($B$14="F",GH14="WA"),"F",IF(AND($B$14="F",GH14="EXC"),"F","-"))))</f>
        <v>-</v>
      </c>
      <c r="GJ14" s="68"/>
      <c r="GK14" s="66"/>
      <c r="GL14" s="48"/>
      <c r="GM14" s="70"/>
      <c r="GN14" s="59" t="str">
        <f>IF(AND($B$14="M",GM14="WA"),"M",IF(AND($B$14="M",GM14="EXC"),"M",IF(AND($B$14="F",GM14="WA"),"F",IF(AND($B$14="F",GM14="EXC"),"F","-"))))</f>
        <v>-</v>
      </c>
      <c r="GO14" s="64" t="str">
        <f t="shared" si="57"/>
        <v/>
      </c>
      <c r="GP14" s="69"/>
      <c r="GQ14" s="59" t="str">
        <f>IF(AND($B$14="M",GP14="WA"),"M",IF(AND($B$14="M",GP14="EXC"),"M",IF(AND($B$14="F",GP14="WA"),"F",IF(AND($B$14="F",GP14="EXC"),"F","-"))))</f>
        <v>-</v>
      </c>
      <c r="GR14" s="64" t="str">
        <f t="shared" si="58"/>
        <v/>
      </c>
      <c r="GS14" s="69"/>
      <c r="GT14" s="59" t="str">
        <f>IF(AND($B$14="M",GS14="WA"),"M",IF(AND($B$14="M",GS14="EXC"),"M",IF(AND($B$14="F",GS14="WA"),"F",IF(AND($B$14="F",GS14="EXC"),"F","-"))))</f>
        <v>-</v>
      </c>
      <c r="GU14" s="64" t="str">
        <f t="shared" si="59"/>
        <v/>
      </c>
      <c r="GV14" s="61" t="str">
        <f t="shared" si="60"/>
        <v/>
      </c>
      <c r="GW14" s="65"/>
      <c r="GX14" s="47" t="str">
        <f>IF(AND($B$14="M",GW14="WA"),"M",IF(AND($B$14="M",GW14="EXC"),"M",IF(AND($B$14="F",GW14="WA"),"F",IF(AND($B$14="F",GW14="EXC"),"F","-"))))</f>
        <v>-</v>
      </c>
      <c r="GY14" s="68"/>
      <c r="GZ14" s="66"/>
      <c r="HA14" s="48"/>
      <c r="HB14" s="70"/>
      <c r="HC14" s="59" t="str">
        <f>IF(AND($B$14="M",HB14="WA"),"M",IF(AND($B$14="M",HB14="EXC"),"M",IF(AND($B$14="F",HB14="WA"),"F",IF(AND($B$14="F",HB14="EXC"),"F","-"))))</f>
        <v>-</v>
      </c>
      <c r="HD14" s="64" t="str">
        <f t="shared" si="61"/>
        <v/>
      </c>
      <c r="HE14" s="69"/>
      <c r="HF14" s="59" t="str">
        <f>IF(AND($B$14="M",HE14="WA"),"M",IF(AND($B$14="M",HE14="EXC"),"M",IF(AND($B$14="F",HE14="WA"),"F",IF(AND($B$14="F",HE14="EXC"),"F","-"))))</f>
        <v>-</v>
      </c>
      <c r="HG14" s="64" t="str">
        <f t="shared" si="62"/>
        <v/>
      </c>
      <c r="HH14" s="69"/>
      <c r="HI14" s="59" t="str">
        <f>IF(AND($B$14="M",HH14="WA"),"M",IF(AND($B$14="M",HH14="EXC"),"M",IF(AND($B$14="F",HH14="WA"),"F",IF(AND($B$14="F",HH14="EXC"),"F","-"))))</f>
        <v>-</v>
      </c>
      <c r="HJ14" s="64" t="str">
        <f t="shared" si="63"/>
        <v/>
      </c>
      <c r="HK14" s="61" t="str">
        <f t="shared" si="64"/>
        <v/>
      </c>
      <c r="HL14" s="65"/>
      <c r="HM14" s="47" t="str">
        <f>IF(AND($B$14="M",HL14="WA"),"M",IF(AND($B$14="M",HL14="EXC"),"M",IF(AND($B$14="F",HL14="WA"),"F",IF(AND($B$14="F",HL14="EXC"),"F","-"))))</f>
        <v>-</v>
      </c>
      <c r="HN14" s="13"/>
      <c r="HO14" s="14"/>
      <c r="HP14" s="15"/>
      <c r="HQ14" s="54"/>
      <c r="HR14" s="55" t="str">
        <f>IF(AND($B$14="M",HQ14="WA"),"M",IF(AND($B$14="M",HQ14="EXC"),"M",IF(AND($B$14="F",HQ14="WA"),"F",IF(AND($B$14="F",HQ14="EXC"),"F","-"))))</f>
        <v>-</v>
      </c>
      <c r="HS14" s="56" t="str">
        <f t="shared" si="65"/>
        <v/>
      </c>
      <c r="HT14" s="54"/>
      <c r="HU14" s="55" t="str">
        <f>IF(AND($B$14="M",HT14="WA"),"M",IF(AND($B$14="M",HT14="EXC"),"M",IF(AND($B$14="F",HT14="WA"),"F",IF(AND($B$14="F",HT14="EXC"),"F","-"))))</f>
        <v>-</v>
      </c>
      <c r="HV14" s="56" t="str">
        <f t="shared" si="66"/>
        <v/>
      </c>
      <c r="HW14" s="54"/>
      <c r="HX14" s="55" t="str">
        <f>IF(AND($B$14="M",HW14="WA"),"M",IF(AND($B$14="M",HW14="EXC"),"M",IF(AND($B$14="F",HW14="WA"),"F",IF(AND($B$14="F",HW14="EXC"),"F","-"))))</f>
        <v>-</v>
      </c>
      <c r="HY14" s="56" t="str">
        <f t="shared" si="67"/>
        <v/>
      </c>
      <c r="HZ14" s="54" t="str">
        <f t="shared" si="68"/>
        <v/>
      </c>
      <c r="IA14" s="67"/>
      <c r="IB14" s="55" t="str">
        <f>IF(AND($B$14="M",IA14="WA"),"M",IF(AND($B$14="M",IA14="EXC"),"M",IF(AND($B$14="F",IA14="WA"),"F",IF(AND($B$14="F",IA14="EXC"),"F","-"))))</f>
        <v>-</v>
      </c>
      <c r="IC14" s="17"/>
    </row>
    <row r="15">
      <c r="A15" s="40"/>
      <c r="B15" s="41"/>
      <c r="C15" s="69"/>
      <c r="D15" s="59" t="str">
        <f>IF(AND($B$15="M",C15="WA"),"M",IF(AND($B$15="M",C15="EXC"),"M",IF(AND($B$15="F",C15="WA"),"F",IF(AND($B$15="F",C15="EXC"),"F","-"))))</f>
        <v>-</v>
      </c>
      <c r="E15" s="60" t="str">
        <f t="shared" si="1"/>
        <v/>
      </c>
      <c r="F15" s="69"/>
      <c r="G15" s="59" t="str">
        <f>IF(AND($B$15="M",F15="WA"),"M",IF(AND($B$15="M",F15="EXC"),"M",IF(AND($B$15="F",F15="WA"),"F",IF(AND($B$15="F",F15="EXC"),"F","-"))))</f>
        <v>-</v>
      </c>
      <c r="H15" s="60" t="str">
        <f t="shared" si="2"/>
        <v/>
      </c>
      <c r="I15" s="69"/>
      <c r="J15" s="59" t="str">
        <f>IF(AND($B$15="M",I15="WA"),"M",IF(AND($B$15="M",I15="EXC"),"M",IF(AND($B$15="F",I15="WA"),"F",IF(AND($B$15="F",I15="EXC"),"F","-"))))</f>
        <v>-</v>
      </c>
      <c r="K15" s="60" t="str">
        <f t="shared" si="3"/>
        <v/>
      </c>
      <c r="L15" s="69"/>
      <c r="M15" s="59" t="str">
        <f>IF(AND($B$15="M",L15="WA"),"M",IF(AND($B$15="M",L15="EXC"),"M",IF(AND($B$15="F",L15="WA"),"F",IF(AND($B$15="F",L15="EXC"),"F","-"))))</f>
        <v>-</v>
      </c>
      <c r="N15" s="60" t="str">
        <f t="shared" si="4"/>
        <v/>
      </c>
      <c r="O15" s="69"/>
      <c r="P15" s="59" t="str">
        <f>IF(AND($B$15="M",O15="WA"),"M",IF(AND($B$15="M",O15="EXC"),"M",IF(AND($B$15="F",O15="WA"),"F",IF(AND($B$15="F",O15="EXC"),"F","-"))))</f>
        <v>-</v>
      </c>
      <c r="Q15" s="60" t="str">
        <f t="shared" si="5"/>
        <v/>
      </c>
      <c r="R15" s="69"/>
      <c r="S15" s="59" t="str">
        <f>IF(AND($B$15="M",R15="WA"),"M",IF(AND($B$15="M",R15="EXC"),"M",IF(AND($B$15="F",R15="WA"),"F",IF(AND($B$15="F",R15="EXC"),"F","-"))))</f>
        <v>-</v>
      </c>
      <c r="T15" s="60" t="str">
        <f t="shared" si="6"/>
        <v/>
      </c>
      <c r="U15" s="61" t="str">
        <f t="shared" si="7"/>
        <v/>
      </c>
      <c r="V15" s="62"/>
      <c r="W15" s="47" t="str">
        <f>IF(AND($B$15="M",V15="WA"),"M",IF(AND($B$15="M",V15="EXC"),"M",IF(AND($B$15="F",V15="WA"),"F",IF(AND($B$15="F",V15="EXC"),"F","-"))))</f>
        <v>-</v>
      </c>
      <c r="X15" s="48"/>
      <c r="Y15" s="49"/>
      <c r="Z15" s="48"/>
      <c r="AA15" s="70"/>
      <c r="AB15" s="59" t="str">
        <f>IF(AND($B$15="M",AA15="WA"),"M",IF(AND($B$15="M",AA15="EXC"),"M",IF(AND($B$15="F",AA15="WA"),"F",IF(AND($B$15="F",AA15="EXC"),"F","-"))))</f>
        <v>-</v>
      </c>
      <c r="AC15" s="64" t="str">
        <f t="shared" si="8"/>
        <v/>
      </c>
      <c r="AD15" s="69"/>
      <c r="AE15" s="59" t="str">
        <f>IF(AND($B$15="M",AD15="WA"),"M",IF(AND($B$15="M",AD15="EXC"),"M",IF(AND($B$15="F",AD15="WA"),"F",IF(AND($B$15="F",AD15="EXC"),"F","-"))))</f>
        <v>-</v>
      </c>
      <c r="AF15" s="64" t="str">
        <f t="shared" si="9"/>
        <v/>
      </c>
      <c r="AG15" s="69"/>
      <c r="AH15" s="59" t="str">
        <f>IF(AND($B$15="M",AG15="WA"),"M",IF(AND($B$15="M",AG15="EXC"),"M",IF(AND($B$15="F",AG15="WA"),"F",IF(AND($B$15="F",AG15="EXC"),"F","-"))))</f>
        <v>-</v>
      </c>
      <c r="AI15" s="64" t="str">
        <f t="shared" si="10"/>
        <v/>
      </c>
      <c r="AJ15" s="69"/>
      <c r="AK15" s="59" t="str">
        <f>IF(AND($B$15="M",AJ15="WA"),"M",IF(AND($B$15="M",AJ15="EXC"),"M",IF(AND($B$15="F",AJ15="WA"),"F",IF(AND($B$15="F",AJ15="EXC"),"F","-"))))</f>
        <v>-</v>
      </c>
      <c r="AL15" s="64" t="str">
        <f t="shared" si="11"/>
        <v/>
      </c>
      <c r="AM15" s="69"/>
      <c r="AN15" s="59" t="str">
        <f>IF(AND($B$15="M",AM15="WA"),"M",IF(AND($B$15="M",AM15="EXC"),"M",IF(AND($B$15="F",AM15="WA"),"F",IF(AND($B$15="F",AM15="EXC"),"F","-"))))</f>
        <v>-</v>
      </c>
      <c r="AO15" s="61" t="str">
        <f t="shared" si="12"/>
        <v/>
      </c>
      <c r="AP15" s="69"/>
      <c r="AQ15" s="59" t="str">
        <f>IF(AND($B$15="M",AP15="WA"),"M",IF(AND($B$15="M",AP15="EXC"),"M",IF(AND($B$15="F",AP15="WA"),"F",IF(AND($B$15="F",AP15="EXC"),"F","-"))))</f>
        <v>-</v>
      </c>
      <c r="AR15" s="61" t="str">
        <f t="shared" si="13"/>
        <v/>
      </c>
      <c r="AS15" s="61" t="str">
        <f t="shared" si="14"/>
        <v/>
      </c>
      <c r="AT15" s="65"/>
      <c r="AU15" s="47" t="str">
        <f>IF(AND($B$15="M",AT15="WA"),"M",IF(AND($B$15="M",AT15="EXC"),"M",IF(AND($B$15="F",AT15="WA"),"F",IF(AND($B$15="F",AT15="EXC"),"F","-"))))</f>
        <v>-</v>
      </c>
      <c r="AV15" s="68"/>
      <c r="AW15" s="66"/>
      <c r="AX15" s="48"/>
      <c r="AY15" s="70"/>
      <c r="AZ15" s="59" t="str">
        <f>IF(AND($B$15="M",AY15="WA"),"M",IF(AND($B$15="M",AY15="EXC"),"M",IF(AND($B$15="F",AY15="WA"),"F",IF(AND($B$15="F",AY15="EXC"),"F","-"))))</f>
        <v>-</v>
      </c>
      <c r="BA15" s="64" t="str">
        <f t="shared" si="15"/>
        <v/>
      </c>
      <c r="BB15" s="69"/>
      <c r="BC15" s="59" t="str">
        <f>IF(AND($B$15="M",BB15="WA"),"M",IF(AND($B$15="M",BB15="EXC"),"M",IF(AND($B$15="F",BB15="WA"),"F",IF(AND($B$15="F",BB15="EXC"),"F","-"))))</f>
        <v>-</v>
      </c>
      <c r="BD15" s="64" t="str">
        <f t="shared" si="16"/>
        <v/>
      </c>
      <c r="BE15" s="69"/>
      <c r="BF15" s="59" t="str">
        <f>IF(AND($B$15="M",BE15="WA"),"M",IF(AND($B$15="M",BE15="EXC"),"M",IF(AND($B$15="F",BE15="WA"),"F",IF(AND($B$15="F",BE15="EXC"),"F","-"))))</f>
        <v>-</v>
      </c>
      <c r="BG15" s="64" t="str">
        <f t="shared" si="17"/>
        <v/>
      </c>
      <c r="BH15" s="69"/>
      <c r="BI15" s="59" t="str">
        <f>IF(AND($B$15="M",BH15="WA"),"M",IF(AND($B$15="M",BH15="EXC"),"M",IF(AND($B$15="F",BH15="WA"),"F",IF(AND($B$15="F",BH15="EXC"),"F","-"))))</f>
        <v>-</v>
      </c>
      <c r="BJ15" s="64" t="str">
        <f t="shared" si="18"/>
        <v/>
      </c>
      <c r="BK15" s="69"/>
      <c r="BL15" s="59" t="str">
        <f>IF(AND($B$15="M",BK15="WA"),"M",IF(AND($B$15="M",BK15="EXC"),"M",IF(AND($B$15="F",BK15="WA"),"F",IF(AND($B$15="F",BK15="EXC"),"F","-"))))</f>
        <v>-</v>
      </c>
      <c r="BM15" s="61" t="str">
        <f t="shared" si="19"/>
        <v/>
      </c>
      <c r="BN15" s="69"/>
      <c r="BO15" s="59" t="str">
        <f>IF(AND($B$15="M",BN15="WA"),"M",IF(AND($B$15="M",BN15="EXC"),"M",IF(AND($B$15="F",BN15="WA"),"F",IF(AND($B$15="F",BN15="EXC"),"F","-"))))</f>
        <v>-</v>
      </c>
      <c r="BP15" s="61" t="str">
        <f t="shared" si="20"/>
        <v/>
      </c>
      <c r="BQ15" s="61" t="str">
        <f t="shared" si="21"/>
        <v/>
      </c>
      <c r="BR15" s="65"/>
      <c r="BS15" s="47" t="str">
        <f>IF(AND($B$15="M",BR15="WA"),"M",IF(AND($B$15="M",BR15="EXC"),"M",IF(AND($B$15="F",BR15="WA"),"F",IF(AND($B$15="F",BR15="EXC"),"F","-"))))</f>
        <v>-</v>
      </c>
      <c r="BT15" s="68"/>
      <c r="BU15" s="66"/>
      <c r="BV15" s="48"/>
      <c r="BW15" s="70"/>
      <c r="BX15" s="59" t="str">
        <f>IF(AND($B$15="M",BW15="WA"),"M",IF(AND($B$15="M",BW15="EXC"),"M",IF(AND($B$15="F",BW15="WA"),"F",IF(AND($B$15="F",BW15="EXC"),"F","-"))))</f>
        <v>-</v>
      </c>
      <c r="BY15" s="64" t="str">
        <f t="shared" si="22"/>
        <v/>
      </c>
      <c r="BZ15" s="69"/>
      <c r="CA15" s="59" t="str">
        <f>IF(AND($B$15="M",BZ15="WA"),"M",IF(AND($B$15="M",BZ15="EXC"),"M",IF(AND($B$15="F",BZ15="WA"),"F",IF(AND($B$15="F",BZ15="EXC"),"F","-"))))</f>
        <v>-</v>
      </c>
      <c r="CB15" s="64" t="str">
        <f t="shared" si="23"/>
        <v/>
      </c>
      <c r="CC15" s="69"/>
      <c r="CD15" s="59" t="str">
        <f>IF(AND($B$15="M",CC15="WA"),"M",IF(AND($B$15="M",CC15="EXC"),"M",IF(AND($B$15="F",CC15="WA"),"F",IF(AND($B$15="F",CC15="EXC"),"F","-"))))</f>
        <v>-</v>
      </c>
      <c r="CE15" s="64" t="str">
        <f t="shared" si="24"/>
        <v/>
      </c>
      <c r="CF15" s="69"/>
      <c r="CG15" s="59" t="str">
        <f>IF(AND($B$15="M",CF15="WA"),"M",IF(AND($B$15="M",CF15="EXC"),"M",IF(AND($B$15="F",CF15="WA"),"F",IF(AND($B$15="F",CF15="EXC"),"F","-"))))</f>
        <v>-</v>
      </c>
      <c r="CH15" s="64" t="str">
        <f t="shared" si="25"/>
        <v/>
      </c>
      <c r="CI15" s="69"/>
      <c r="CJ15" s="59" t="str">
        <f>IF(AND($B$15="M",CI15="WA"),"M",IF(AND($B$15="M",CI15="EXC"),"M",IF(AND($B$15="F",CI15="WA"),"F",IF(AND($B$15="F",CI15="EXC"),"F","-"))))</f>
        <v>-</v>
      </c>
      <c r="CK15" s="61" t="str">
        <f t="shared" si="26"/>
        <v/>
      </c>
      <c r="CL15" s="69"/>
      <c r="CM15" s="59" t="str">
        <f>IF(AND($B$15="M",CL15="WA"),"M",IF(AND($B$15="M",CL15="EXC"),"M",IF(AND($B$15="F",CL15="WA"),"F",IF(AND($B$15="F",CL15="EXC"),"F","-"))))</f>
        <v>-</v>
      </c>
      <c r="CN15" s="61" t="str">
        <f t="shared" si="27"/>
        <v/>
      </c>
      <c r="CO15" s="61" t="str">
        <f t="shared" si="28"/>
        <v/>
      </c>
      <c r="CP15" s="65"/>
      <c r="CQ15" s="47" t="str">
        <f>IF(AND($B$15="M",CP15="WA"),"M",IF(AND($B$15="M",CP15="EXC"),"M",IF(AND($B$15="F",CP15="WA"),"F",IF(AND($B$15="F",CP15="EXC"),"F","-"))))</f>
        <v>-</v>
      </c>
      <c r="CR15" s="68"/>
      <c r="CS15" s="66"/>
      <c r="CT15" s="48"/>
      <c r="CU15" s="70"/>
      <c r="CV15" s="59" t="str">
        <f>IF(AND($B$15="M",CU15="WA"),"M",IF(AND($B$15="M",CU15="EXC"),"M",IF(AND($B$15="F",CU15="WA"),"F",IF(AND($B$15="F",CU15="EXC"),"F","-"))))</f>
        <v>-</v>
      </c>
      <c r="CW15" s="64" t="str">
        <f t="shared" si="29"/>
        <v/>
      </c>
      <c r="CX15" s="69"/>
      <c r="CY15" s="59" t="str">
        <f>IF(AND($B$15="M",CX15="WA"),"M",IF(AND($B$15="M",CX15="EXC"),"M",IF(AND($B$15="F",CX15="WA"),"F",IF(AND($B$15="F",CX15="EXC"),"F","-"))))</f>
        <v>-</v>
      </c>
      <c r="CZ15" s="64" t="str">
        <f t="shared" si="30"/>
        <v/>
      </c>
      <c r="DA15" s="69"/>
      <c r="DB15" s="59" t="str">
        <f>IF(AND($B$15="M",DA15="WA"),"M",IF(AND($B$15="M",DA15="EXC"),"M",IF(AND($B$15="F",DA15="WA"),"F",IF(AND($B$15="F",DA15="EXC"),"F","-"))))</f>
        <v>-</v>
      </c>
      <c r="DC15" s="64" t="str">
        <f t="shared" si="31"/>
        <v/>
      </c>
      <c r="DD15" s="69"/>
      <c r="DE15" s="59" t="str">
        <f>IF(AND($B$15="M",DD15="WA"),"M",IF(AND($B$15="M",DD15="EXC"),"M",IF(AND($B$15="F",DD15="WA"),"F",IF(AND($B$15="F",DD15="EXC"),"F","-"))))</f>
        <v>-</v>
      </c>
      <c r="DF15" s="64" t="str">
        <f t="shared" si="32"/>
        <v/>
      </c>
      <c r="DG15" s="69"/>
      <c r="DH15" s="59" t="str">
        <f>IF(AND($B$15="M",DG15="WA"),"M",IF(AND($B$15="M",DG15="EXC"),"M",IF(AND($B$15="F",DG15="WA"),"F",IF(AND($B$15="F",DG15="EXC"),"F","-"))))</f>
        <v>-</v>
      </c>
      <c r="DI15" s="61" t="str">
        <f t="shared" si="33"/>
        <v/>
      </c>
      <c r="DJ15" s="69"/>
      <c r="DK15" s="59" t="str">
        <f>IF(AND($B$15="M",DJ15="WA"),"M",IF(AND($B$15="M",DJ15="EXC"),"M",IF(AND($B$15="F",DJ15="WA"),"F",IF(AND($B$15="F",DJ15="EXC"),"F","-"))))</f>
        <v>-</v>
      </c>
      <c r="DL15" s="61" t="str">
        <f t="shared" si="34"/>
        <v/>
      </c>
      <c r="DM15" s="61" t="str">
        <f t="shared" si="35"/>
        <v/>
      </c>
      <c r="DN15" s="65"/>
      <c r="DO15" s="47" t="str">
        <f>IF(AND($B$15="M",DN15="WA"),"M",IF(AND($B$15="M",DN15="EXC"),"M",IF(AND($B$15="F",DN15="WA"),"F",IF(AND($B$15="F",DN15="EXC"),"F","-"))))</f>
        <v>-</v>
      </c>
      <c r="DP15" s="68"/>
      <c r="DQ15" s="66"/>
      <c r="DR15" s="48"/>
      <c r="DS15" s="70"/>
      <c r="DT15" s="59" t="str">
        <f>IF(AND($B$15="M",DS15="WA"),"M",IF(AND($B$15="M",DS15="EXC"),"M",IF(AND($B$15="F",DS15="WA"),"F",IF(AND($B$15="F",DS15="EXC"),"F","-"))))</f>
        <v>-</v>
      </c>
      <c r="DU15" s="64" t="str">
        <f t="shared" si="36"/>
        <v/>
      </c>
      <c r="DV15" s="69"/>
      <c r="DW15" s="59" t="str">
        <f>IF(AND($B$15="M",DV15="WA"),"M",IF(AND($B$15="M",DV15="EXC"),"M",IF(AND($B$15="F",DV15="WA"),"F",IF(AND($B$15="F",DV15="EXC"),"F","-"))))</f>
        <v>-</v>
      </c>
      <c r="DX15" s="64" t="str">
        <f t="shared" si="37"/>
        <v/>
      </c>
      <c r="DY15" s="69"/>
      <c r="DZ15" s="59" t="str">
        <f>IF(AND($B$15="M",DY15="WA"),"M",IF(AND($B$15="M",DY15="EXC"),"M",IF(AND($B$15="F",DY15="WA"),"F",IF(AND($B$15="F",DY15="EXC"),"F","-"))))</f>
        <v>-</v>
      </c>
      <c r="EA15" s="64" t="str">
        <f t="shared" si="38"/>
        <v/>
      </c>
      <c r="EB15" s="69"/>
      <c r="EC15" s="59" t="str">
        <f>IF(AND($B$15="M",EB15="WA"),"M",IF(AND($B$15="M",EB15="EXC"),"M",IF(AND($B$15="F",EB15="WA"),"F",IF(AND($B$15="F",EB15="EXC"),"F","-"))))</f>
        <v>-</v>
      </c>
      <c r="ED15" s="64" t="str">
        <f t="shared" si="39"/>
        <v/>
      </c>
      <c r="EE15" s="69"/>
      <c r="EF15" s="59" t="str">
        <f>IF(AND($B$15="M",EE15="WA"),"M",IF(AND($B$15="M",EE15="EXC"),"M",IF(AND($B$15="F",EE15="WA"),"F",IF(AND($B$15="F",EE15="EXC"),"F","-"))))</f>
        <v>-</v>
      </c>
      <c r="EG15" s="61" t="str">
        <f t="shared" si="40"/>
        <v/>
      </c>
      <c r="EH15" s="69"/>
      <c r="EI15" s="59" t="str">
        <f>IF(AND($B$15="M",EH15="WA"),"M",IF(AND($B$15="M",EH15="EXC"),"M",IF(AND($B$15="F",EH15="WA"),"F",IF(AND($B$15="F",EH15="EXC"),"F","-"))))</f>
        <v>-</v>
      </c>
      <c r="EJ15" s="61" t="str">
        <f t="shared" si="41"/>
        <v/>
      </c>
      <c r="EK15" s="61" t="str">
        <f t="shared" si="42"/>
        <v/>
      </c>
      <c r="EL15" s="65"/>
      <c r="EM15" s="47" t="str">
        <f>IF(AND($B$15="M",EL15="WA"),"M",IF(AND($B$15="M",EL15="EXC"),"M",IF(AND($B$15="F",EL15="WA"),"F",IF(AND($B$15="F",EL15="EXC"),"F","-"))))</f>
        <v>-</v>
      </c>
      <c r="EN15" s="68"/>
      <c r="EO15" s="66"/>
      <c r="EP15" s="48"/>
      <c r="EQ15" s="70"/>
      <c r="ER15" s="59" t="str">
        <f>IF(AND($B$15="M",EQ15="WA"),"M",IF(AND($B$15="M",EQ15="EXC"),"M",IF(AND($B$15="F",EQ15="WA"),"F",IF(AND($B$15="F",EQ15="EXC"),"F","-"))))</f>
        <v>-</v>
      </c>
      <c r="ES15" s="64" t="str">
        <f t="shared" si="43"/>
        <v/>
      </c>
      <c r="ET15" s="69"/>
      <c r="EU15" s="59" t="str">
        <f>IF(AND($B$15="M",ET15="WA"),"M",IF(AND($B$15="M",ET15="EXC"),"M",IF(AND($B$15="F",ET15="WA"),"F",IF(AND($B$15="F",ET15="EXC"),"F","-"))))</f>
        <v>-</v>
      </c>
      <c r="EV15" s="64" t="str">
        <f t="shared" si="44"/>
        <v/>
      </c>
      <c r="EW15" s="69"/>
      <c r="EX15" s="59" t="str">
        <f>IF(AND($B$15="M",EW15="WA"),"M",IF(AND($B$15="M",EW15="EXC"),"M",IF(AND($B$15="F",EW15="WA"),"F",IF(AND($B$15="F",EW15="EXC"),"F","-"))))</f>
        <v>-</v>
      </c>
      <c r="EY15" s="64" t="str">
        <f t="shared" si="45"/>
        <v/>
      </c>
      <c r="EZ15" s="69"/>
      <c r="FA15" s="59" t="str">
        <f>IF(AND($B$15="M",EZ15="WA"),"M",IF(AND($B$15="M",EZ15="EXC"),"M",IF(AND($B$15="F",EZ15="WA"),"F",IF(AND($B$15="F",EZ15="EXC"),"F","-"))))</f>
        <v>-</v>
      </c>
      <c r="FB15" s="64" t="str">
        <f t="shared" si="46"/>
        <v/>
      </c>
      <c r="FC15" s="69"/>
      <c r="FD15" s="59" t="str">
        <f>IF(AND($B$15="M",FC15="WA"),"M",IF(AND($B$15="M",FC15="EXC"),"M",IF(AND($B$15="F",FC15="WA"),"F",IF(AND($B$15="F",FC15="EXC"),"F","-"))))</f>
        <v>-</v>
      </c>
      <c r="FE15" s="61" t="str">
        <f t="shared" si="47"/>
        <v/>
      </c>
      <c r="FF15" s="69"/>
      <c r="FG15" s="59" t="str">
        <f>IF(AND($B$15="M",FF15="WA"),"M",IF(AND($B$15="M",FF15="EXC"),"M",IF(AND($B$15="F",FF15="WA"),"F",IF(AND($B$15="F",FF15="EXC"),"F","-"))))</f>
        <v>-</v>
      </c>
      <c r="FH15" s="61" t="str">
        <f t="shared" si="48"/>
        <v/>
      </c>
      <c r="FI15" s="61" t="str">
        <f t="shared" si="49"/>
        <v/>
      </c>
      <c r="FJ15" s="65"/>
      <c r="FK15" s="47" t="str">
        <f>IF(AND($B$15="M",FJ15="WA"),"M",IF(AND($B$15="M",FJ15="EXC"),"M",IF(AND($B$15="F",FJ15="WA"),"F",IF(AND($B$15="F",FJ15="EXC"),"F","-"))))</f>
        <v>-</v>
      </c>
      <c r="FL15" s="68"/>
      <c r="FM15" s="66"/>
      <c r="FN15" s="48"/>
      <c r="FO15" s="70"/>
      <c r="FP15" s="59" t="str">
        <f>IF(AND($B$15="M",FO15="WA"),"M",IF(AND($B$15="M",FO15="EXC"),"M",IF(AND($B$15="F",FO15="WA"),"F",IF(AND($B$15="F",FO15="EXC"),"F","-"))))</f>
        <v>-</v>
      </c>
      <c r="FQ15" s="64" t="str">
        <f t="shared" si="50"/>
        <v/>
      </c>
      <c r="FR15" s="69"/>
      <c r="FS15" s="59" t="str">
        <f>IF(AND($B$15="M",FR15="WA"),"M",IF(AND($B$15="M",FR15="EXC"),"M",IF(AND($B$15="F",FR15="WA"),"F",IF(AND($B$15="F",FR15="EXC"),"F","-"))))</f>
        <v>-</v>
      </c>
      <c r="FT15" s="64" t="str">
        <f t="shared" si="51"/>
        <v/>
      </c>
      <c r="FU15" s="69"/>
      <c r="FV15" s="59" t="str">
        <f>IF(AND($B$15="M",FU15="WA"),"M",IF(AND($B$15="M",FU15="EXC"),"M",IF(AND($B$15="F",FU15="WA"),"F",IF(AND($B$15="F",FU15="EXC"),"F","-"))))</f>
        <v>-</v>
      </c>
      <c r="FW15" s="64" t="str">
        <f t="shared" si="52"/>
        <v/>
      </c>
      <c r="FX15" s="69"/>
      <c r="FY15" s="59" t="str">
        <f>IF(AND($B$15="M",FX15="WA"),"M",IF(AND($B$15="M",FX15="EXC"),"M",IF(AND($B$15="F",FX15="WA"),"F",IF(AND($B$15="F",FX15="EXC"),"F","-"))))</f>
        <v>-</v>
      </c>
      <c r="FZ15" s="64" t="str">
        <f t="shared" si="53"/>
        <v/>
      </c>
      <c r="GA15" s="69"/>
      <c r="GB15" s="59" t="str">
        <f>IF(AND($B$15="M",GA15="WA"),"M",IF(AND($B$15="M",GA15="EXC"),"M",IF(AND($B$15="F",GA15="WA"),"F",IF(AND($B$15="F",GA15="EXC"),"F","-"))))</f>
        <v>-</v>
      </c>
      <c r="GC15" s="61" t="str">
        <f t="shared" si="54"/>
        <v/>
      </c>
      <c r="GD15" s="69"/>
      <c r="GE15" s="59" t="str">
        <f>IF(AND($B$15="M",GD15="WA"),"M",IF(AND($B$15="M",GD15="EXC"),"M",IF(AND($B$15="F",GD15="WA"),"F",IF(AND($B$15="F",GD15="EXC"),"F","-"))))</f>
        <v>-</v>
      </c>
      <c r="GF15" s="61" t="str">
        <f t="shared" si="55"/>
        <v/>
      </c>
      <c r="GG15" s="61" t="str">
        <f t="shared" si="56"/>
        <v/>
      </c>
      <c r="GH15" s="65"/>
      <c r="GI15" s="47" t="str">
        <f>IF(AND($B$15="M",GH15="WA"),"M",IF(AND($B$15="M",GH15="EXC"),"M",IF(AND($B$15="F",GH15="WA"),"F",IF(AND($B$15="F",GH15="EXC"),"F","-"))))</f>
        <v>-</v>
      </c>
      <c r="GJ15" s="68"/>
      <c r="GK15" s="66"/>
      <c r="GL15" s="48"/>
      <c r="GM15" s="70"/>
      <c r="GN15" s="59" t="str">
        <f>IF(AND($B$15="M",GM15="WA"),"M",IF(AND($B$15="M",GM15="EXC"),"M",IF(AND($B$15="F",GM15="WA"),"F",IF(AND($B$15="F",GM15="EXC"),"F","-"))))</f>
        <v>-</v>
      </c>
      <c r="GO15" s="64" t="str">
        <f t="shared" si="57"/>
        <v/>
      </c>
      <c r="GP15" s="69"/>
      <c r="GQ15" s="59" t="str">
        <f>IF(AND($B$15="M",GP15="WA"),"M",IF(AND($B$15="M",GP15="EXC"),"M",IF(AND($B$15="F",GP15="WA"),"F",IF(AND($B$15="F",GP15="EXC"),"F","-"))))</f>
        <v>-</v>
      </c>
      <c r="GR15" s="64" t="str">
        <f t="shared" si="58"/>
        <v/>
      </c>
      <c r="GS15" s="69"/>
      <c r="GT15" s="59" t="str">
        <f>IF(AND($B$15="M",GS15="WA"),"M",IF(AND($B$15="M",GS15="EXC"),"M",IF(AND($B$15="F",GS15="WA"),"F",IF(AND($B$15="F",GS15="EXC"),"F","-"))))</f>
        <v>-</v>
      </c>
      <c r="GU15" s="64" t="str">
        <f t="shared" si="59"/>
        <v/>
      </c>
      <c r="GV15" s="61" t="str">
        <f t="shared" si="60"/>
        <v/>
      </c>
      <c r="GW15" s="65"/>
      <c r="GX15" s="47" t="str">
        <f>IF(AND($B$15="M",GW15="WA"),"M",IF(AND($B$15="M",GW15="EXC"),"M",IF(AND($B$15="F",GW15="WA"),"F",IF(AND($B$15="F",GW15="EXC"),"F","-"))))</f>
        <v>-</v>
      </c>
      <c r="GY15" s="68"/>
      <c r="GZ15" s="66"/>
      <c r="HA15" s="48"/>
      <c r="HB15" s="70"/>
      <c r="HC15" s="59" t="str">
        <f>IF(AND($B$15="M",HB15="WA"),"M",IF(AND($B$15="M",HB15="EXC"),"M",IF(AND($B$15="F",HB15="WA"),"F",IF(AND($B$15="F",HB15="EXC"),"F","-"))))</f>
        <v>-</v>
      </c>
      <c r="HD15" s="64" t="str">
        <f t="shared" si="61"/>
        <v/>
      </c>
      <c r="HE15" s="69"/>
      <c r="HF15" s="59" t="str">
        <f>IF(AND($B$15="M",HE15="WA"),"M",IF(AND($B$15="M",HE15="EXC"),"M",IF(AND($B$15="F",HE15="WA"),"F",IF(AND($B$15="F",HE15="EXC"),"F","-"))))</f>
        <v>-</v>
      </c>
      <c r="HG15" s="64" t="str">
        <f t="shared" si="62"/>
        <v/>
      </c>
      <c r="HH15" s="69"/>
      <c r="HI15" s="59" t="str">
        <f>IF(AND($B$15="M",HH15="WA"),"M",IF(AND($B$15="M",HH15="EXC"),"M",IF(AND($B$15="F",HH15="WA"),"F",IF(AND($B$15="F",HH15="EXC"),"F","-"))))</f>
        <v>-</v>
      </c>
      <c r="HJ15" s="64" t="str">
        <f t="shared" si="63"/>
        <v/>
      </c>
      <c r="HK15" s="61" t="str">
        <f t="shared" si="64"/>
        <v/>
      </c>
      <c r="HL15" s="65"/>
      <c r="HM15" s="47" t="str">
        <f>IF(AND($B$15="M",HL15="WA"),"M",IF(AND($B$15="M",HL15="EXC"),"M",IF(AND($B$15="F",HL15="WA"),"F",IF(AND($B$15="F",HL15="EXC"),"F","-"))))</f>
        <v>-</v>
      </c>
      <c r="HN15" s="13"/>
      <c r="HO15" s="14"/>
      <c r="HP15" s="15"/>
      <c r="HQ15" s="54"/>
      <c r="HR15" s="55" t="str">
        <f>IF(AND($B$15="M",HQ15="WA"),"M",IF(AND($B$15="M",HQ15="EXC"),"M",IF(AND($B$15="F",HQ15="WA"),"F",IF(AND($B$15="F",HQ15="EXC"),"F","-"))))</f>
        <v>-</v>
      </c>
      <c r="HS15" s="56" t="str">
        <f t="shared" si="65"/>
        <v/>
      </c>
      <c r="HT15" s="54"/>
      <c r="HU15" s="55" t="str">
        <f>IF(AND($B$15="M",HT15="WA"),"M",IF(AND($B$15="M",HT15="EXC"),"M",IF(AND($B$15="F",HT15="WA"),"F",IF(AND($B$15="F",HT15="EXC"),"F","-"))))</f>
        <v>-</v>
      </c>
      <c r="HV15" s="56" t="str">
        <f t="shared" si="66"/>
        <v/>
      </c>
      <c r="HW15" s="54"/>
      <c r="HX15" s="55" t="str">
        <f>IF(AND($B$15="M",HW15="WA"),"M",IF(AND($B$15="M",HW15="EXC"),"M",IF(AND($B$15="F",HW15="WA"),"F",IF(AND($B$15="F",HW15="EXC"),"F","-"))))</f>
        <v>-</v>
      </c>
      <c r="HY15" s="56" t="str">
        <f t="shared" si="67"/>
        <v/>
      </c>
      <c r="HZ15" s="54" t="str">
        <f t="shared" si="68"/>
        <v/>
      </c>
      <c r="IA15" s="67"/>
      <c r="IB15" s="55" t="str">
        <f>IF(AND($B$15="M",IA15="WA"),"M",IF(AND($B$15="M",IA15="EXC"),"M",IF(AND($B$15="F",IA15="WA"),"F",IF(AND($B$15="F",IA15="EXC"),"F","-"))))</f>
        <v>-</v>
      </c>
      <c r="IC15" s="17"/>
    </row>
    <row r="16">
      <c r="A16" s="40"/>
      <c r="B16" s="41"/>
      <c r="C16" s="69"/>
      <c r="D16" s="59" t="str">
        <f>IF(AND($B$16="M",C16="WA"),"M",IF(AND($B$16="M",C16="EXC"),"M",IF(AND($B$16="F",C16="WA"),"F",IF(AND($B$16="F",C16="EXC"),"F","-"))))</f>
        <v>-</v>
      </c>
      <c r="E16" s="60" t="str">
        <f t="shared" si="1"/>
        <v/>
      </c>
      <c r="F16" s="69"/>
      <c r="G16" s="59" t="str">
        <f>IF(AND($B$16="M",F16="WA"),"M",IF(AND($B$16="M",F16="EXC"),"M",IF(AND($B$16="F",F16="WA"),"F",IF(AND($B$16="F",F16="EXC"),"F","-"))))</f>
        <v>-</v>
      </c>
      <c r="H16" s="60" t="str">
        <f t="shared" si="2"/>
        <v/>
      </c>
      <c r="I16" s="69"/>
      <c r="J16" s="59" t="str">
        <f>IF(AND($B$16="M",I16="WA"),"M",IF(AND($B$16="M",I16="EXC"),"M",IF(AND($B$16="F",I16="WA"),"F",IF(AND($B$16="F",I16="EXC"),"F","-"))))</f>
        <v>-</v>
      </c>
      <c r="K16" s="60" t="str">
        <f t="shared" si="3"/>
        <v/>
      </c>
      <c r="L16" s="69"/>
      <c r="M16" s="59" t="str">
        <f>IF(AND($B$16="M",L16="WA"),"M",IF(AND($B$16="M",L16="EXC"),"M",IF(AND($B$16="F",L16="WA"),"F",IF(AND($B$16="F",L16="EXC"),"F","-"))))</f>
        <v>-</v>
      </c>
      <c r="N16" s="60" t="str">
        <f t="shared" si="4"/>
        <v/>
      </c>
      <c r="O16" s="69"/>
      <c r="P16" s="59" t="str">
        <f>IF(AND($B$16="M",O16="WA"),"M",IF(AND($B$16="M",O16="EXC"),"M",IF(AND($B$16="F",O16="WA"),"F",IF(AND($B$16="F",O16="EXC"),"F","-"))))</f>
        <v>-</v>
      </c>
      <c r="Q16" s="60" t="str">
        <f t="shared" si="5"/>
        <v/>
      </c>
      <c r="R16" s="69"/>
      <c r="S16" s="59" t="str">
        <f>IF(AND($B$16="M",R16="WA"),"M",IF(AND($B$16="M",R16="EXC"),"M",IF(AND($B$16="F",R16="WA"),"F",IF(AND($B$16="F",R16="EXC"),"F","-"))))</f>
        <v>-</v>
      </c>
      <c r="T16" s="60" t="str">
        <f t="shared" si="6"/>
        <v/>
      </c>
      <c r="U16" s="61" t="str">
        <f t="shared" si="7"/>
        <v/>
      </c>
      <c r="V16" s="62"/>
      <c r="W16" s="47" t="str">
        <f>IF(AND($B$16="M",V16="WA"),"M",IF(AND($B$16="M",V16="EXC"),"M",IF(AND($B$16="F",V16="WA"),"F",IF(AND($B$16="F",V16="EXC"),"F","-"))))</f>
        <v>-</v>
      </c>
      <c r="X16" s="48"/>
      <c r="Y16" s="49"/>
      <c r="Z16" s="48"/>
      <c r="AA16" s="70"/>
      <c r="AB16" s="59" t="str">
        <f>IF(AND($B$16="M",AA16="WA"),"M",IF(AND($B$16="M",AA16="EXC"),"M",IF(AND($B$16="F",AA16="WA"),"F",IF(AND($B$16="F",AA16="EXC"),"F","-"))))</f>
        <v>-</v>
      </c>
      <c r="AC16" s="64" t="str">
        <f t="shared" si="8"/>
        <v/>
      </c>
      <c r="AD16" s="69"/>
      <c r="AE16" s="59" t="str">
        <f>IF(AND($B$16="M",AD16="WA"),"M",IF(AND($B$16="M",AD16="EXC"),"M",IF(AND($B$16="F",AD16="WA"),"F",IF(AND($B$16="F",AD16="EXC"),"F","-"))))</f>
        <v>-</v>
      </c>
      <c r="AF16" s="64" t="str">
        <f t="shared" si="9"/>
        <v/>
      </c>
      <c r="AG16" s="69"/>
      <c r="AH16" s="59" t="str">
        <f>IF(AND($B$16="M",AG16="WA"),"M",IF(AND($B$16="M",AG16="EXC"),"M",IF(AND($B$16="F",AG16="WA"),"F",IF(AND($B$16="F",AG16="EXC"),"F","-"))))</f>
        <v>-</v>
      </c>
      <c r="AI16" s="64" t="str">
        <f t="shared" si="10"/>
        <v/>
      </c>
      <c r="AJ16" s="69"/>
      <c r="AK16" s="59" t="str">
        <f>IF(AND($B$16="M",AJ16="WA"),"M",IF(AND($B$16="M",AJ16="EXC"),"M",IF(AND($B$16="F",AJ16="WA"),"F",IF(AND($B$16="F",AJ16="EXC"),"F","-"))))</f>
        <v>-</v>
      </c>
      <c r="AL16" s="64" t="str">
        <f t="shared" si="11"/>
        <v/>
      </c>
      <c r="AM16" s="69"/>
      <c r="AN16" s="59" t="str">
        <f>IF(AND($B$16="M",AM16="WA"),"M",IF(AND($B$16="M",AM16="EXC"),"M",IF(AND($B$16="F",AM16="WA"),"F",IF(AND($B$16="F",AM16="EXC"),"F","-"))))</f>
        <v>-</v>
      </c>
      <c r="AO16" s="61" t="str">
        <f t="shared" si="12"/>
        <v/>
      </c>
      <c r="AP16" s="69"/>
      <c r="AQ16" s="59" t="str">
        <f>IF(AND($B$16="M",AP16="WA"),"M",IF(AND($B$16="M",AP16="EXC"),"M",IF(AND($B$16="F",AP16="WA"),"F",IF(AND($B$16="F",AP16="EXC"),"F","-"))))</f>
        <v>-</v>
      </c>
      <c r="AR16" s="61" t="str">
        <f t="shared" si="13"/>
        <v/>
      </c>
      <c r="AS16" s="61" t="str">
        <f t="shared" si="14"/>
        <v/>
      </c>
      <c r="AT16" s="65"/>
      <c r="AU16" s="47" t="str">
        <f>IF(AND($B$16="M",AT16="WA"),"M",IF(AND($B$16="M",AT16="EXC"),"M",IF(AND($B$16="F",AT16="WA"),"F",IF(AND($B$16="F",AT16="EXC"),"F","-"))))</f>
        <v>-</v>
      </c>
      <c r="AV16" s="68"/>
      <c r="AW16" s="66"/>
      <c r="AX16" s="48"/>
      <c r="AY16" s="70"/>
      <c r="AZ16" s="59" t="str">
        <f>IF(AND($B$16="M",AY16="WA"),"M",IF(AND($B$16="M",AY16="EXC"),"M",IF(AND($B$16="F",AY16="WA"),"F",IF(AND($B$16="F",AY16="EXC"),"F","-"))))</f>
        <v>-</v>
      </c>
      <c r="BA16" s="64" t="str">
        <f t="shared" si="15"/>
        <v/>
      </c>
      <c r="BB16" s="69"/>
      <c r="BC16" s="59" t="str">
        <f>IF(AND($B$16="M",BB16="WA"),"M",IF(AND($B$16="M",BB16="EXC"),"M",IF(AND($B$16="F",BB16="WA"),"F",IF(AND($B$16="F",BB16="EXC"),"F","-"))))</f>
        <v>-</v>
      </c>
      <c r="BD16" s="64" t="str">
        <f t="shared" si="16"/>
        <v/>
      </c>
      <c r="BE16" s="69"/>
      <c r="BF16" s="59" t="str">
        <f>IF(AND($B$16="M",BE16="WA"),"M",IF(AND($B$16="M",BE16="EXC"),"M",IF(AND($B$16="F",BE16="WA"),"F",IF(AND($B$16="F",BE16="EXC"),"F","-"))))</f>
        <v>-</v>
      </c>
      <c r="BG16" s="64" t="str">
        <f t="shared" si="17"/>
        <v/>
      </c>
      <c r="BH16" s="69"/>
      <c r="BI16" s="59" t="str">
        <f>IF(AND($B$16="M",BH16="WA"),"M",IF(AND($B$16="M",BH16="EXC"),"M",IF(AND($B$16="F",BH16="WA"),"F",IF(AND($B$16="F",BH16="EXC"),"F","-"))))</f>
        <v>-</v>
      </c>
      <c r="BJ16" s="64" t="str">
        <f t="shared" si="18"/>
        <v/>
      </c>
      <c r="BK16" s="69"/>
      <c r="BL16" s="59" t="str">
        <f>IF(AND($B$16="M",BK16="WA"),"M",IF(AND($B$16="M",BK16="EXC"),"M",IF(AND($B$16="F",BK16="WA"),"F",IF(AND($B$16="F",BK16="EXC"),"F","-"))))</f>
        <v>-</v>
      </c>
      <c r="BM16" s="61" t="str">
        <f t="shared" si="19"/>
        <v/>
      </c>
      <c r="BN16" s="69"/>
      <c r="BO16" s="59" t="str">
        <f>IF(AND($B$16="M",BN16="WA"),"M",IF(AND($B$16="M",BN16="EXC"),"M",IF(AND($B$16="F",BN16="WA"),"F",IF(AND($B$16="F",BN16="EXC"),"F","-"))))</f>
        <v>-</v>
      </c>
      <c r="BP16" s="61" t="str">
        <f t="shared" si="20"/>
        <v/>
      </c>
      <c r="BQ16" s="61" t="str">
        <f t="shared" si="21"/>
        <v/>
      </c>
      <c r="BR16" s="65"/>
      <c r="BS16" s="47" t="str">
        <f>IF(AND($B$16="M",BR16="WA"),"M",IF(AND($B$16="M",BR16="EXC"),"M",IF(AND($B$16="F",BR16="WA"),"F",IF(AND($B$16="F",BR16="EXC"),"F","-"))))</f>
        <v>-</v>
      </c>
      <c r="BT16" s="68"/>
      <c r="BU16" s="66"/>
      <c r="BV16" s="48"/>
      <c r="BW16" s="70"/>
      <c r="BX16" s="59" t="str">
        <f>IF(AND($B$16="M",BW16="WA"),"M",IF(AND($B$16="M",BW16="EXC"),"M",IF(AND($B$16="F",BW16="WA"),"F",IF(AND($B$16="F",BW16="EXC"),"F","-"))))</f>
        <v>-</v>
      </c>
      <c r="BY16" s="64" t="str">
        <f t="shared" si="22"/>
        <v/>
      </c>
      <c r="BZ16" s="69"/>
      <c r="CA16" s="59" t="str">
        <f>IF(AND($B$16="M",BZ16="WA"),"M",IF(AND($B$16="M",BZ16="EXC"),"M",IF(AND($B$16="F",BZ16="WA"),"F",IF(AND($B$16="F",BZ16="EXC"),"F","-"))))</f>
        <v>-</v>
      </c>
      <c r="CB16" s="64" t="str">
        <f t="shared" si="23"/>
        <v/>
      </c>
      <c r="CC16" s="69"/>
      <c r="CD16" s="59" t="str">
        <f>IF(AND($B$16="M",CC16="WA"),"M",IF(AND($B$16="M",CC16="EXC"),"M",IF(AND($B$16="F",CC16="WA"),"F",IF(AND($B$16="F",CC16="EXC"),"F","-"))))</f>
        <v>-</v>
      </c>
      <c r="CE16" s="64" t="str">
        <f t="shared" si="24"/>
        <v/>
      </c>
      <c r="CF16" s="69"/>
      <c r="CG16" s="59" t="str">
        <f>IF(AND($B$16="M",CF16="WA"),"M",IF(AND($B$16="M",CF16="EXC"),"M",IF(AND($B$16="F",CF16="WA"),"F",IF(AND($B$16="F",CF16="EXC"),"F","-"))))</f>
        <v>-</v>
      </c>
      <c r="CH16" s="64" t="str">
        <f t="shared" si="25"/>
        <v/>
      </c>
      <c r="CI16" s="69"/>
      <c r="CJ16" s="59" t="str">
        <f>IF(AND($B$16="M",CI16="WA"),"M",IF(AND($B$16="M",CI16="EXC"),"M",IF(AND($B$16="F",CI16="WA"),"F",IF(AND($B$16="F",CI16="EXC"),"F","-"))))</f>
        <v>-</v>
      </c>
      <c r="CK16" s="61" t="str">
        <f t="shared" si="26"/>
        <v/>
      </c>
      <c r="CL16" s="69"/>
      <c r="CM16" s="59" t="str">
        <f>IF(AND($B$16="M",CL16="WA"),"M",IF(AND($B$16="M",CL16="EXC"),"M",IF(AND($B$16="F",CL16="WA"),"F",IF(AND($B$16="F",CL16="EXC"),"F","-"))))</f>
        <v>-</v>
      </c>
      <c r="CN16" s="61" t="str">
        <f t="shared" si="27"/>
        <v/>
      </c>
      <c r="CO16" s="61" t="str">
        <f t="shared" si="28"/>
        <v/>
      </c>
      <c r="CP16" s="65"/>
      <c r="CQ16" s="47" t="str">
        <f>IF(AND($B$16="M",CP16="WA"),"M",IF(AND($B$16="M",CP16="EXC"),"M",IF(AND($B$16="F",CP16="WA"),"F",IF(AND($B$16="F",CP16="EXC"),"F","-"))))</f>
        <v>-</v>
      </c>
      <c r="CR16" s="68"/>
      <c r="CS16" s="66"/>
      <c r="CT16" s="48"/>
      <c r="CU16" s="70"/>
      <c r="CV16" s="59" t="str">
        <f>IF(AND($B$16="M",CU16="WA"),"M",IF(AND($B$16="M",CU16="EXC"),"M",IF(AND($B$16="F",CU16="WA"),"F",IF(AND($B$16="F",CU16="EXC"),"F","-"))))</f>
        <v>-</v>
      </c>
      <c r="CW16" s="64" t="str">
        <f t="shared" si="29"/>
        <v/>
      </c>
      <c r="CX16" s="69"/>
      <c r="CY16" s="59" t="str">
        <f>IF(AND($B$16="M",CX16="WA"),"M",IF(AND($B$16="M",CX16="EXC"),"M",IF(AND($B$16="F",CX16="WA"),"F",IF(AND($B$16="F",CX16="EXC"),"F","-"))))</f>
        <v>-</v>
      </c>
      <c r="CZ16" s="64" t="str">
        <f t="shared" si="30"/>
        <v/>
      </c>
      <c r="DA16" s="69"/>
      <c r="DB16" s="59" t="str">
        <f>IF(AND($B$16="M",DA16="WA"),"M",IF(AND($B$16="M",DA16="EXC"),"M",IF(AND($B$16="F",DA16="WA"),"F",IF(AND($B$16="F",DA16="EXC"),"F","-"))))</f>
        <v>-</v>
      </c>
      <c r="DC16" s="64" t="str">
        <f t="shared" si="31"/>
        <v/>
      </c>
      <c r="DD16" s="69"/>
      <c r="DE16" s="59" t="str">
        <f>IF(AND($B$16="M",DD16="WA"),"M",IF(AND($B$16="M",DD16="EXC"),"M",IF(AND($B$16="F",DD16="WA"),"F",IF(AND($B$16="F",DD16="EXC"),"F","-"))))</f>
        <v>-</v>
      </c>
      <c r="DF16" s="64" t="str">
        <f t="shared" si="32"/>
        <v/>
      </c>
      <c r="DG16" s="69"/>
      <c r="DH16" s="59" t="str">
        <f>IF(AND($B$16="M",DG16="WA"),"M",IF(AND($B$16="M",DG16="EXC"),"M",IF(AND($B$16="F",DG16="WA"),"F",IF(AND($B$16="F",DG16="EXC"),"F","-"))))</f>
        <v>-</v>
      </c>
      <c r="DI16" s="61" t="str">
        <f t="shared" si="33"/>
        <v/>
      </c>
      <c r="DJ16" s="69"/>
      <c r="DK16" s="59" t="str">
        <f>IF(AND($B$16="M",DJ16="WA"),"M",IF(AND($B$16="M",DJ16="EXC"),"M",IF(AND($B$16="F",DJ16="WA"),"F",IF(AND($B$16="F",DJ16="EXC"),"F","-"))))</f>
        <v>-</v>
      </c>
      <c r="DL16" s="61" t="str">
        <f t="shared" si="34"/>
        <v/>
      </c>
      <c r="DM16" s="61" t="str">
        <f t="shared" si="35"/>
        <v/>
      </c>
      <c r="DN16" s="65"/>
      <c r="DO16" s="47" t="str">
        <f>IF(AND($B$16="M",DN16="WA"),"M",IF(AND($B$16="M",DN16="EXC"),"M",IF(AND($B$16="F",DN16="WA"),"F",IF(AND($B$16="F",DN16="EXC"),"F","-"))))</f>
        <v>-</v>
      </c>
      <c r="DP16" s="68"/>
      <c r="DQ16" s="66"/>
      <c r="DR16" s="48"/>
      <c r="DS16" s="70"/>
      <c r="DT16" s="59" t="str">
        <f>IF(AND($B$16="M",DS16="WA"),"M",IF(AND($B$16="M",DS16="EXC"),"M",IF(AND($B$16="F",DS16="WA"),"F",IF(AND($B$16="F",DS16="EXC"),"F","-"))))</f>
        <v>-</v>
      </c>
      <c r="DU16" s="64" t="str">
        <f t="shared" si="36"/>
        <v/>
      </c>
      <c r="DV16" s="69"/>
      <c r="DW16" s="59" t="str">
        <f>IF(AND($B$16="M",DV16="WA"),"M",IF(AND($B$16="M",DV16="EXC"),"M",IF(AND($B$16="F",DV16="WA"),"F",IF(AND($B$16="F",DV16="EXC"),"F","-"))))</f>
        <v>-</v>
      </c>
      <c r="DX16" s="64" t="str">
        <f t="shared" si="37"/>
        <v/>
      </c>
      <c r="DY16" s="69"/>
      <c r="DZ16" s="59" t="str">
        <f>IF(AND($B$16="M",DY16="WA"),"M",IF(AND($B$16="M",DY16="EXC"),"M",IF(AND($B$16="F",DY16="WA"),"F",IF(AND($B$16="F",DY16="EXC"),"F","-"))))</f>
        <v>-</v>
      </c>
      <c r="EA16" s="64" t="str">
        <f t="shared" si="38"/>
        <v/>
      </c>
      <c r="EB16" s="69"/>
      <c r="EC16" s="59" t="str">
        <f>IF(AND($B$16="M",EB16="WA"),"M",IF(AND($B$16="M",EB16="EXC"),"M",IF(AND($B$16="F",EB16="WA"),"F",IF(AND($B$16="F",EB16="EXC"),"F","-"))))</f>
        <v>-</v>
      </c>
      <c r="ED16" s="64" t="str">
        <f t="shared" si="39"/>
        <v/>
      </c>
      <c r="EE16" s="69"/>
      <c r="EF16" s="59" t="str">
        <f>IF(AND($B$16="M",EE16="WA"),"M",IF(AND($B$16="M",EE16="EXC"),"M",IF(AND($B$16="F",EE16="WA"),"F",IF(AND($B$16="F",EE16="EXC"),"F","-"))))</f>
        <v>-</v>
      </c>
      <c r="EG16" s="61" t="str">
        <f t="shared" si="40"/>
        <v/>
      </c>
      <c r="EH16" s="69"/>
      <c r="EI16" s="59" t="str">
        <f>IF(AND($B$16="M",EH16="WA"),"M",IF(AND($B$16="M",EH16="EXC"),"M",IF(AND($B$16="F",EH16="WA"),"F",IF(AND($B$16="F",EH16="EXC"),"F","-"))))</f>
        <v>-</v>
      </c>
      <c r="EJ16" s="61" t="str">
        <f t="shared" si="41"/>
        <v/>
      </c>
      <c r="EK16" s="61" t="str">
        <f t="shared" si="42"/>
        <v/>
      </c>
      <c r="EL16" s="65"/>
      <c r="EM16" s="47" t="str">
        <f>IF(AND($B$16="M",EL16="WA"),"M",IF(AND($B$16="M",EL16="EXC"),"M",IF(AND($B$16="F",EL16="WA"),"F",IF(AND($B$16="F",EL16="EXC"),"F","-"))))</f>
        <v>-</v>
      </c>
      <c r="EN16" s="68"/>
      <c r="EO16" s="66"/>
      <c r="EP16" s="48"/>
      <c r="EQ16" s="70"/>
      <c r="ER16" s="59" t="str">
        <f>IF(AND($B$16="M",EQ16="WA"),"M",IF(AND($B$16="M",EQ16="EXC"),"M",IF(AND($B$16="F",EQ16="WA"),"F",IF(AND($B$16="F",EQ16="EXC"),"F","-"))))</f>
        <v>-</v>
      </c>
      <c r="ES16" s="64" t="str">
        <f t="shared" si="43"/>
        <v/>
      </c>
      <c r="ET16" s="69"/>
      <c r="EU16" s="59" t="str">
        <f>IF(AND($B$16="M",ET16="WA"),"M",IF(AND($B$16="M",ET16="EXC"),"M",IF(AND($B$16="F",ET16="WA"),"F",IF(AND($B$16="F",ET16="EXC"),"F","-"))))</f>
        <v>-</v>
      </c>
      <c r="EV16" s="64" t="str">
        <f t="shared" si="44"/>
        <v/>
      </c>
      <c r="EW16" s="69"/>
      <c r="EX16" s="59" t="str">
        <f>IF(AND($B$16="M",EW16="WA"),"M",IF(AND($B$16="M",EW16="EXC"),"M",IF(AND($B$16="F",EW16="WA"),"F",IF(AND($B$16="F",EW16="EXC"),"F","-"))))</f>
        <v>-</v>
      </c>
      <c r="EY16" s="64" t="str">
        <f t="shared" si="45"/>
        <v/>
      </c>
      <c r="EZ16" s="69"/>
      <c r="FA16" s="59" t="str">
        <f>IF(AND($B$16="M",EZ16="WA"),"M",IF(AND($B$16="M",EZ16="EXC"),"M",IF(AND($B$16="F",EZ16="WA"),"F",IF(AND($B$16="F",EZ16="EXC"),"F","-"))))</f>
        <v>-</v>
      </c>
      <c r="FB16" s="64" t="str">
        <f t="shared" si="46"/>
        <v/>
      </c>
      <c r="FC16" s="69"/>
      <c r="FD16" s="59" t="str">
        <f>IF(AND($B$16="M",FC16="WA"),"M",IF(AND($B$16="M",FC16="EXC"),"M",IF(AND($B$16="F",FC16="WA"),"F",IF(AND($B$16="F",FC16="EXC"),"F","-"))))</f>
        <v>-</v>
      </c>
      <c r="FE16" s="61" t="str">
        <f t="shared" si="47"/>
        <v/>
      </c>
      <c r="FF16" s="69"/>
      <c r="FG16" s="59" t="str">
        <f>IF(AND($B$16="M",FF16="WA"),"M",IF(AND($B$16="M",FF16="EXC"),"M",IF(AND($B$16="F",FF16="WA"),"F",IF(AND($B$16="F",FF16="EXC"),"F","-"))))</f>
        <v>-</v>
      </c>
      <c r="FH16" s="61" t="str">
        <f t="shared" si="48"/>
        <v/>
      </c>
      <c r="FI16" s="61" t="str">
        <f t="shared" si="49"/>
        <v/>
      </c>
      <c r="FJ16" s="65"/>
      <c r="FK16" s="47" t="str">
        <f>IF(AND($B$16="M",FJ16="WA"),"M",IF(AND($B$16="M",FJ16="EXC"),"M",IF(AND($B$16="F",FJ16="WA"),"F",IF(AND($B$16="F",FJ16="EXC"),"F","-"))))</f>
        <v>-</v>
      </c>
      <c r="FL16" s="68"/>
      <c r="FM16" s="66"/>
      <c r="FN16" s="48"/>
      <c r="FO16" s="70"/>
      <c r="FP16" s="59" t="str">
        <f>IF(AND($B$16="M",FO16="WA"),"M",IF(AND($B$16="M",FO16="EXC"),"M",IF(AND($B$16="F",FO16="WA"),"F",IF(AND($B$16="F",FO16="EXC"),"F","-"))))</f>
        <v>-</v>
      </c>
      <c r="FQ16" s="64" t="str">
        <f t="shared" si="50"/>
        <v/>
      </c>
      <c r="FR16" s="69"/>
      <c r="FS16" s="59" t="str">
        <f>IF(AND($B$16="M",FR16="WA"),"M",IF(AND($B$16="M",FR16="EXC"),"M",IF(AND($B$16="F",FR16="WA"),"F",IF(AND($B$16="F",FR16="EXC"),"F","-"))))</f>
        <v>-</v>
      </c>
      <c r="FT16" s="64" t="str">
        <f t="shared" si="51"/>
        <v/>
      </c>
      <c r="FU16" s="69"/>
      <c r="FV16" s="59" t="str">
        <f>IF(AND($B$16="M",FU16="WA"),"M",IF(AND($B$16="M",FU16="EXC"),"M",IF(AND($B$16="F",FU16="WA"),"F",IF(AND($B$16="F",FU16="EXC"),"F","-"))))</f>
        <v>-</v>
      </c>
      <c r="FW16" s="64" t="str">
        <f t="shared" si="52"/>
        <v/>
      </c>
      <c r="FX16" s="69"/>
      <c r="FY16" s="59" t="str">
        <f>IF(AND($B$16="M",FX16="WA"),"M",IF(AND($B$16="M",FX16="EXC"),"M",IF(AND($B$16="F",FX16="WA"),"F",IF(AND($B$16="F",FX16="EXC"),"F","-"))))</f>
        <v>-</v>
      </c>
      <c r="FZ16" s="64" t="str">
        <f t="shared" si="53"/>
        <v/>
      </c>
      <c r="GA16" s="69"/>
      <c r="GB16" s="59" t="str">
        <f>IF(AND($B$16="M",GA16="WA"),"M",IF(AND($B$16="M",GA16="EXC"),"M",IF(AND($B$16="F",GA16="WA"),"F",IF(AND($B$16="F",GA16="EXC"),"F","-"))))</f>
        <v>-</v>
      </c>
      <c r="GC16" s="61" t="str">
        <f t="shared" si="54"/>
        <v/>
      </c>
      <c r="GD16" s="69"/>
      <c r="GE16" s="59" t="str">
        <f>IF(AND($B$16="M",GD16="WA"),"M",IF(AND($B$16="M",GD16="EXC"),"M",IF(AND($B$16="F",GD16="WA"),"F",IF(AND($B$16="F",GD16="EXC"),"F","-"))))</f>
        <v>-</v>
      </c>
      <c r="GF16" s="61" t="str">
        <f t="shared" si="55"/>
        <v/>
      </c>
      <c r="GG16" s="61" t="str">
        <f t="shared" si="56"/>
        <v/>
      </c>
      <c r="GH16" s="65"/>
      <c r="GI16" s="47" t="str">
        <f>IF(AND($B$16="M",GH16="WA"),"M",IF(AND($B$16="M",GH16="EXC"),"M",IF(AND($B$16="F",GH16="WA"),"F",IF(AND($B$16="F",GH16="EXC"),"F","-"))))</f>
        <v>-</v>
      </c>
      <c r="GJ16" s="68"/>
      <c r="GK16" s="66"/>
      <c r="GL16" s="48"/>
      <c r="GM16" s="70"/>
      <c r="GN16" s="59" t="str">
        <f>IF(AND($B$16="M",GM16="WA"),"M",IF(AND($B$16="M",GM16="EXC"),"M",IF(AND($B$16="F",GM16="WA"),"F",IF(AND($B$16="F",GM16="EXC"),"F","-"))))</f>
        <v>-</v>
      </c>
      <c r="GO16" s="64" t="str">
        <f t="shared" si="57"/>
        <v/>
      </c>
      <c r="GP16" s="69"/>
      <c r="GQ16" s="59" t="str">
        <f>IF(AND($B$16="M",GP16="WA"),"M",IF(AND($B$16="M",GP16="EXC"),"M",IF(AND($B$16="F",GP16="WA"),"F",IF(AND($B$16="F",GP16="EXC"),"F","-"))))</f>
        <v>-</v>
      </c>
      <c r="GR16" s="64" t="str">
        <f t="shared" si="58"/>
        <v/>
      </c>
      <c r="GS16" s="69"/>
      <c r="GT16" s="59" t="str">
        <f>IF(AND($B$16="M",GS16="WA"),"M",IF(AND($B$16="M",GS16="EXC"),"M",IF(AND($B$16="F",GS16="WA"),"F",IF(AND($B$16="F",GS16="EXC"),"F","-"))))</f>
        <v>-</v>
      </c>
      <c r="GU16" s="64" t="str">
        <f t="shared" si="59"/>
        <v/>
      </c>
      <c r="GV16" s="61" t="str">
        <f t="shared" si="60"/>
        <v/>
      </c>
      <c r="GW16" s="65"/>
      <c r="GX16" s="47" t="str">
        <f>IF(AND($B$16="M",GW16="WA"),"M",IF(AND($B$16="M",GW16="EXC"),"M",IF(AND($B$16="F",GW16="WA"),"F",IF(AND($B$16="F",GW16="EXC"),"F","-"))))</f>
        <v>-</v>
      </c>
      <c r="GY16" s="68"/>
      <c r="GZ16" s="66"/>
      <c r="HA16" s="48"/>
      <c r="HB16" s="70"/>
      <c r="HC16" s="59" t="str">
        <f>IF(AND($B$16="M",HB16="WA"),"M",IF(AND($B$16="M",HB16="EXC"),"M",IF(AND($B$16="F",HB16="WA"),"F",IF(AND($B$16="F",HB16="EXC"),"F","-"))))</f>
        <v>-</v>
      </c>
      <c r="HD16" s="64" t="str">
        <f t="shared" si="61"/>
        <v/>
      </c>
      <c r="HE16" s="69"/>
      <c r="HF16" s="59" t="str">
        <f>IF(AND($B$16="M",HE16="WA"),"M",IF(AND($B$16="M",HE16="EXC"),"M",IF(AND($B$16="F",HE16="WA"),"F",IF(AND($B$16="F",HE16="EXC"),"F","-"))))</f>
        <v>-</v>
      </c>
      <c r="HG16" s="64" t="str">
        <f t="shared" si="62"/>
        <v/>
      </c>
      <c r="HH16" s="69"/>
      <c r="HI16" s="59" t="str">
        <f>IF(AND($B$16="M",HH16="WA"),"M",IF(AND($B$16="M",HH16="EXC"),"M",IF(AND($B$16="F",HH16="WA"),"F",IF(AND($B$16="F",HH16="EXC"),"F","-"))))</f>
        <v>-</v>
      </c>
      <c r="HJ16" s="64" t="str">
        <f t="shared" si="63"/>
        <v/>
      </c>
      <c r="HK16" s="61" t="str">
        <f t="shared" si="64"/>
        <v/>
      </c>
      <c r="HL16" s="65"/>
      <c r="HM16" s="47" t="str">
        <f>IF(AND($B$16="M",HL16="WA"),"M",IF(AND($B$16="M",HL16="EXC"),"M",IF(AND($B$16="F",HL16="WA"),"F",IF(AND($B$16="F",HL16="EXC"),"F","-"))))</f>
        <v>-</v>
      </c>
      <c r="HN16" s="13"/>
      <c r="HO16" s="14"/>
      <c r="HP16" s="15"/>
      <c r="HQ16" s="54"/>
      <c r="HR16" s="55" t="str">
        <f>IF(AND($B$16="M",HQ16="WA"),"M",IF(AND($B$16="M",HQ16="EXC"),"M",IF(AND($B$16="F",HQ16="WA"),"F",IF(AND($B$16="F",HQ16="EXC"),"F","-"))))</f>
        <v>-</v>
      </c>
      <c r="HS16" s="56" t="str">
        <f t="shared" si="65"/>
        <v/>
      </c>
      <c r="HT16" s="54"/>
      <c r="HU16" s="55" t="str">
        <f>IF(AND($B$16="M",HT16="WA"),"M",IF(AND($B$16="M",HT16="EXC"),"M",IF(AND($B$16="F",HT16="WA"),"F",IF(AND($B$16="F",HT16="EXC"),"F","-"))))</f>
        <v>-</v>
      </c>
      <c r="HV16" s="56" t="str">
        <f t="shared" si="66"/>
        <v/>
      </c>
      <c r="HW16" s="54"/>
      <c r="HX16" s="55" t="str">
        <f>IF(AND($B$16="M",HW16="WA"),"M",IF(AND($B$16="M",HW16="EXC"),"M",IF(AND($B$16="F",HW16="WA"),"F",IF(AND($B$16="F",HW16="EXC"),"F","-"))))</f>
        <v>-</v>
      </c>
      <c r="HY16" s="56" t="str">
        <f t="shared" si="67"/>
        <v/>
      </c>
      <c r="HZ16" s="54" t="str">
        <f t="shared" si="68"/>
        <v/>
      </c>
      <c r="IA16" s="67"/>
      <c r="IB16" s="55" t="str">
        <f>IF(AND($B$16="M",IA16="WA"),"M",IF(AND($B$16="M",IA16="EXC"),"M",IF(AND($B$16="F",IA16="WA"),"F",IF(AND($B$16="F",IA16="EXC"),"F","-"))))</f>
        <v>-</v>
      </c>
      <c r="IC16" s="17"/>
    </row>
    <row r="17">
      <c r="A17" s="40"/>
      <c r="B17" s="41"/>
      <c r="C17" s="69"/>
      <c r="D17" s="59" t="str">
        <f>IF(AND($B$17="M",C17="WA"),"M",IF(AND($B$17="M",C17="EXC"),"M",IF(AND($B$17="F",C17="WA"),"F",IF(AND($B$17="F",C17="EXC"),"F","-"))))</f>
        <v>-</v>
      </c>
      <c r="E17" s="60" t="str">
        <f t="shared" si="1"/>
        <v/>
      </c>
      <c r="F17" s="69"/>
      <c r="G17" s="59" t="str">
        <f>IF(AND($B$17="M",F17="WA"),"M",IF(AND($B$17="M",F17="EXC"),"M",IF(AND($B$17="F",F17="WA"),"F",IF(AND($B$17="F",F17="EXC"),"F","-"))))</f>
        <v>-</v>
      </c>
      <c r="H17" s="60" t="str">
        <f t="shared" si="2"/>
        <v/>
      </c>
      <c r="I17" s="69"/>
      <c r="J17" s="59" t="str">
        <f>IF(AND($B$17="M",I17="WA"),"M",IF(AND($B$17="M",I17="EXC"),"M",IF(AND($B$17="F",I17="WA"),"F",IF(AND($B$17="F",I17="EXC"),"F","-"))))</f>
        <v>-</v>
      </c>
      <c r="K17" s="60" t="str">
        <f t="shared" si="3"/>
        <v/>
      </c>
      <c r="L17" s="69"/>
      <c r="M17" s="59" t="str">
        <f>IF(AND($B$17="M",L17="WA"),"M",IF(AND($B$17="M",L17="EXC"),"M",IF(AND($B$17="F",L17="WA"),"F",IF(AND($B$17="F",L17="EXC"),"F","-"))))</f>
        <v>-</v>
      </c>
      <c r="N17" s="60" t="str">
        <f t="shared" si="4"/>
        <v/>
      </c>
      <c r="O17" s="69"/>
      <c r="P17" s="59" t="str">
        <f>IF(AND($B$17="M",O17="WA"),"M",IF(AND($B$17="M",O17="EXC"),"M",IF(AND($B$17="F",O17="WA"),"F",IF(AND($B$17="F",O17="EXC"),"F","-"))))</f>
        <v>-</v>
      </c>
      <c r="Q17" s="60" t="str">
        <f t="shared" si="5"/>
        <v/>
      </c>
      <c r="R17" s="69"/>
      <c r="S17" s="59" t="str">
        <f>IF(AND($B$17="M",R17="WA"),"M",IF(AND($B$17="M",R17="EXC"),"M",IF(AND($B$17="F",R17="WA"),"F",IF(AND($B$17="F",R17="EXC"),"F","-"))))</f>
        <v>-</v>
      </c>
      <c r="T17" s="60" t="str">
        <f t="shared" si="6"/>
        <v/>
      </c>
      <c r="U17" s="61" t="str">
        <f t="shared" si="7"/>
        <v/>
      </c>
      <c r="V17" s="62"/>
      <c r="W17" s="47" t="str">
        <f>IF(AND($B$17="M",V17="WA"),"M",IF(AND($B$17="M",V17="EXC"),"M",IF(AND($B$17="F",V17="WA"),"F",IF(AND($B$17="F",V17="EXC"),"F","-"))))</f>
        <v>-</v>
      </c>
      <c r="X17" s="48"/>
      <c r="Y17" s="49"/>
      <c r="Z17" s="48"/>
      <c r="AA17" s="70"/>
      <c r="AB17" s="59" t="str">
        <f>IF(AND($B$17="M",AA17="WA"),"M",IF(AND($B$17="M",AA17="EXC"),"M",IF(AND($B$17="F",AA17="WA"),"F",IF(AND($B$17="F",AA17="EXC"),"F","-"))))</f>
        <v>-</v>
      </c>
      <c r="AC17" s="64" t="str">
        <f t="shared" si="8"/>
        <v/>
      </c>
      <c r="AD17" s="69"/>
      <c r="AE17" s="59" t="str">
        <f>IF(AND($B$17="M",AD17="WA"),"M",IF(AND($B$17="M",AD17="EXC"),"M",IF(AND($B$17="F",AD17="WA"),"F",IF(AND($B$17="F",AD17="EXC"),"F","-"))))</f>
        <v>-</v>
      </c>
      <c r="AF17" s="64" t="str">
        <f t="shared" si="9"/>
        <v/>
      </c>
      <c r="AG17" s="69"/>
      <c r="AH17" s="59" t="str">
        <f>IF(AND($B$17="M",AG17="WA"),"M",IF(AND($B$17="M",AG17="EXC"),"M",IF(AND($B$17="F",AG17="WA"),"F",IF(AND($B$17="F",AG17="EXC"),"F","-"))))</f>
        <v>-</v>
      </c>
      <c r="AI17" s="64" t="str">
        <f t="shared" si="10"/>
        <v/>
      </c>
      <c r="AJ17" s="69"/>
      <c r="AK17" s="59" t="str">
        <f>IF(AND($B$17="M",AJ17="WA"),"M",IF(AND($B$17="M",AJ17="EXC"),"M",IF(AND($B$17="F",AJ17="WA"),"F",IF(AND($B$17="F",AJ17="EXC"),"F","-"))))</f>
        <v>-</v>
      </c>
      <c r="AL17" s="64" t="str">
        <f t="shared" si="11"/>
        <v/>
      </c>
      <c r="AM17" s="69"/>
      <c r="AN17" s="59" t="str">
        <f>IF(AND($B$17="M",AM17="WA"),"M",IF(AND($B$17="M",AM17="EXC"),"M",IF(AND($B$17="F",AM17="WA"),"F",IF(AND($B$17="F",AM17="EXC"),"F","-"))))</f>
        <v>-</v>
      </c>
      <c r="AO17" s="61" t="str">
        <f t="shared" si="12"/>
        <v/>
      </c>
      <c r="AP17" s="69"/>
      <c r="AQ17" s="59" t="str">
        <f>IF(AND($B$17="M",AP17="WA"),"M",IF(AND($B$17="M",AP17="EXC"),"M",IF(AND($B$17="F",AP17="WA"),"F",IF(AND($B$17="F",AP17="EXC"),"F","-"))))</f>
        <v>-</v>
      </c>
      <c r="AR17" s="61" t="str">
        <f t="shared" si="13"/>
        <v/>
      </c>
      <c r="AS17" s="61" t="str">
        <f t="shared" si="14"/>
        <v/>
      </c>
      <c r="AT17" s="65"/>
      <c r="AU17" s="47" t="str">
        <f>IF(AND($B$17="M",AT17="WA"),"M",IF(AND($B$17="M",AT17="EXC"),"M",IF(AND($B$17="F",AT17="WA"),"F",IF(AND($B$17="F",AT17="EXC"),"F","-"))))</f>
        <v>-</v>
      </c>
      <c r="AV17" s="68"/>
      <c r="AW17" s="66"/>
      <c r="AX17" s="48"/>
      <c r="AY17" s="70"/>
      <c r="AZ17" s="59" t="str">
        <f>IF(AND($B$17="M",AY17="WA"),"M",IF(AND($B$17="M",AY17="EXC"),"M",IF(AND($B$17="F",AY17="WA"),"F",IF(AND($B$17="F",AY17="EXC"),"F","-"))))</f>
        <v>-</v>
      </c>
      <c r="BA17" s="64" t="str">
        <f t="shared" si="15"/>
        <v/>
      </c>
      <c r="BB17" s="69"/>
      <c r="BC17" s="59" t="str">
        <f>IF(AND($B$17="M",BB17="WA"),"M",IF(AND($B$17="M",BB17="EXC"),"M",IF(AND($B$17="F",BB17="WA"),"F",IF(AND($B$17="F",BB17="EXC"),"F","-"))))</f>
        <v>-</v>
      </c>
      <c r="BD17" s="64" t="str">
        <f t="shared" si="16"/>
        <v/>
      </c>
      <c r="BE17" s="69"/>
      <c r="BF17" s="59" t="str">
        <f>IF(AND($B$17="M",BE17="WA"),"M",IF(AND($B$17="M",BE17="EXC"),"M",IF(AND($B$17="F",BE17="WA"),"F",IF(AND($B$17="F",BE17="EXC"),"F","-"))))</f>
        <v>-</v>
      </c>
      <c r="BG17" s="64" t="str">
        <f t="shared" si="17"/>
        <v/>
      </c>
      <c r="BH17" s="69"/>
      <c r="BI17" s="59" t="str">
        <f>IF(AND($B$17="M",BH17="WA"),"M",IF(AND($B$17="M",BH17="EXC"),"M",IF(AND($B$17="F",BH17="WA"),"F",IF(AND($B$17="F",BH17="EXC"),"F","-"))))</f>
        <v>-</v>
      </c>
      <c r="BJ17" s="64" t="str">
        <f t="shared" si="18"/>
        <v/>
      </c>
      <c r="BK17" s="69"/>
      <c r="BL17" s="59" t="str">
        <f>IF(AND($B$17="M",BK17="WA"),"M",IF(AND($B$17="M",BK17="EXC"),"M",IF(AND($B$17="F",BK17="WA"),"F",IF(AND($B$17="F",BK17="EXC"),"F","-"))))</f>
        <v>-</v>
      </c>
      <c r="BM17" s="61" t="str">
        <f t="shared" si="19"/>
        <v/>
      </c>
      <c r="BN17" s="69"/>
      <c r="BO17" s="59" t="str">
        <f>IF(AND($B$17="M",BN17="WA"),"M",IF(AND($B$17="M",BN17="EXC"),"M",IF(AND($B$17="F",BN17="WA"),"F",IF(AND($B$17="F",BN17="EXC"),"F","-"))))</f>
        <v>-</v>
      </c>
      <c r="BP17" s="61" t="str">
        <f t="shared" si="20"/>
        <v/>
      </c>
      <c r="BQ17" s="61" t="str">
        <f t="shared" si="21"/>
        <v/>
      </c>
      <c r="BR17" s="65"/>
      <c r="BS17" s="47" t="str">
        <f>IF(AND($B$17="M",BR17="WA"),"M",IF(AND($B$17="M",BR17="EXC"),"M",IF(AND($B$17="F",BR17="WA"),"F",IF(AND($B$17="F",BR17="EXC"),"F","-"))))</f>
        <v>-</v>
      </c>
      <c r="BT17" s="68"/>
      <c r="BU17" s="66"/>
      <c r="BV17" s="48"/>
      <c r="BW17" s="70"/>
      <c r="BX17" s="59" t="str">
        <f>IF(AND($B$17="M",BW17="WA"),"M",IF(AND($B$17="M",BW17="EXC"),"M",IF(AND($B$17="F",BW17="WA"),"F",IF(AND($B$17="F",BW17="EXC"),"F","-"))))</f>
        <v>-</v>
      </c>
      <c r="BY17" s="64" t="str">
        <f t="shared" si="22"/>
        <v/>
      </c>
      <c r="BZ17" s="69"/>
      <c r="CA17" s="59" t="str">
        <f>IF(AND($B$17="M",BZ17="WA"),"M",IF(AND($B$17="M",BZ17="EXC"),"M",IF(AND($B$17="F",BZ17="WA"),"F",IF(AND($B$17="F",BZ17="EXC"),"F","-"))))</f>
        <v>-</v>
      </c>
      <c r="CB17" s="64" t="str">
        <f t="shared" si="23"/>
        <v/>
      </c>
      <c r="CC17" s="69"/>
      <c r="CD17" s="59" t="str">
        <f>IF(AND($B$17="M",CC17="WA"),"M",IF(AND($B$17="M",CC17="EXC"),"M",IF(AND($B$17="F",CC17="WA"),"F",IF(AND($B$17="F",CC17="EXC"),"F","-"))))</f>
        <v>-</v>
      </c>
      <c r="CE17" s="64" t="str">
        <f t="shared" si="24"/>
        <v/>
      </c>
      <c r="CF17" s="69"/>
      <c r="CG17" s="59" t="str">
        <f>IF(AND($B$17="M",CF17="WA"),"M",IF(AND($B$17="M",CF17="EXC"),"M",IF(AND($B$17="F",CF17="WA"),"F",IF(AND($B$17="F",CF17="EXC"),"F","-"))))</f>
        <v>-</v>
      </c>
      <c r="CH17" s="64" t="str">
        <f t="shared" si="25"/>
        <v/>
      </c>
      <c r="CI17" s="69"/>
      <c r="CJ17" s="59" t="str">
        <f>IF(AND($B$17="M",CI17="WA"),"M",IF(AND($B$17="M",CI17="EXC"),"M",IF(AND($B$17="F",CI17="WA"),"F",IF(AND($B$17="F",CI17="EXC"),"F","-"))))</f>
        <v>-</v>
      </c>
      <c r="CK17" s="61" t="str">
        <f t="shared" si="26"/>
        <v/>
      </c>
      <c r="CL17" s="69"/>
      <c r="CM17" s="59" t="str">
        <f>IF(AND($B$17="M",CL17="WA"),"M",IF(AND($B$17="M",CL17="EXC"),"M",IF(AND($B$17="F",CL17="WA"),"F",IF(AND($B$17="F",CL17="EXC"),"F","-"))))</f>
        <v>-</v>
      </c>
      <c r="CN17" s="61" t="str">
        <f t="shared" si="27"/>
        <v/>
      </c>
      <c r="CO17" s="61" t="str">
        <f t="shared" si="28"/>
        <v/>
      </c>
      <c r="CP17" s="65"/>
      <c r="CQ17" s="47" t="str">
        <f>IF(AND($B$17="M",CP17="WA"),"M",IF(AND($B$17="M",CP17="EXC"),"M",IF(AND($B$17="F",CP17="WA"),"F",IF(AND($B$17="F",CP17="EXC"),"F","-"))))</f>
        <v>-</v>
      </c>
      <c r="CR17" s="68"/>
      <c r="CS17" s="66"/>
      <c r="CT17" s="48"/>
      <c r="CU17" s="70"/>
      <c r="CV17" s="59" t="str">
        <f>IF(AND($B$17="M",CU17="WA"),"M",IF(AND($B$17="M",CU17="EXC"),"M",IF(AND($B$17="F",CU17="WA"),"F",IF(AND($B$17="F",CU17="EXC"),"F","-"))))</f>
        <v>-</v>
      </c>
      <c r="CW17" s="64" t="str">
        <f t="shared" si="29"/>
        <v/>
      </c>
      <c r="CX17" s="69"/>
      <c r="CY17" s="59" t="str">
        <f>IF(AND($B$17="M",CX17="WA"),"M",IF(AND($B$17="M",CX17="EXC"),"M",IF(AND($B$17="F",CX17="WA"),"F",IF(AND($B$17="F",CX17="EXC"),"F","-"))))</f>
        <v>-</v>
      </c>
      <c r="CZ17" s="64" t="str">
        <f t="shared" si="30"/>
        <v/>
      </c>
      <c r="DA17" s="69"/>
      <c r="DB17" s="59" t="str">
        <f>IF(AND($B$17="M",DA17="WA"),"M",IF(AND($B$17="M",DA17="EXC"),"M",IF(AND($B$17="F",DA17="WA"),"F",IF(AND($B$17="F",DA17="EXC"),"F","-"))))</f>
        <v>-</v>
      </c>
      <c r="DC17" s="64" t="str">
        <f t="shared" si="31"/>
        <v/>
      </c>
      <c r="DD17" s="69"/>
      <c r="DE17" s="59" t="str">
        <f>IF(AND($B$17="M",DD17="WA"),"M",IF(AND($B$17="M",DD17="EXC"),"M",IF(AND($B$17="F",DD17="WA"),"F",IF(AND($B$17="F",DD17="EXC"),"F","-"))))</f>
        <v>-</v>
      </c>
      <c r="DF17" s="64" t="str">
        <f t="shared" si="32"/>
        <v/>
      </c>
      <c r="DG17" s="69"/>
      <c r="DH17" s="59" t="str">
        <f>IF(AND($B$17="M",DG17="WA"),"M",IF(AND($B$17="M",DG17="EXC"),"M",IF(AND($B$17="F",DG17="WA"),"F",IF(AND($B$17="F",DG17="EXC"),"F","-"))))</f>
        <v>-</v>
      </c>
      <c r="DI17" s="61" t="str">
        <f t="shared" si="33"/>
        <v/>
      </c>
      <c r="DJ17" s="69"/>
      <c r="DK17" s="59" t="str">
        <f>IF(AND($B$17="M",DJ17="WA"),"M",IF(AND($B$17="M",DJ17="EXC"),"M",IF(AND($B$17="F",DJ17="WA"),"F",IF(AND($B$17="F",DJ17="EXC"),"F","-"))))</f>
        <v>-</v>
      </c>
      <c r="DL17" s="61" t="str">
        <f t="shared" si="34"/>
        <v/>
      </c>
      <c r="DM17" s="61" t="str">
        <f t="shared" si="35"/>
        <v/>
      </c>
      <c r="DN17" s="65"/>
      <c r="DO17" s="47" t="str">
        <f>IF(AND($B$17="M",DN17="WA"),"M",IF(AND($B$17="M",DN17="EXC"),"M",IF(AND($B$17="F",DN17="WA"),"F",IF(AND($B$17="F",DN17="EXC"),"F","-"))))</f>
        <v>-</v>
      </c>
      <c r="DP17" s="68"/>
      <c r="DQ17" s="66"/>
      <c r="DR17" s="48"/>
      <c r="DS17" s="70"/>
      <c r="DT17" s="59" t="str">
        <f>IF(AND($B$17="M",DS17="WA"),"M",IF(AND($B$17="M",DS17="EXC"),"M",IF(AND($B$17="F",DS17="WA"),"F",IF(AND($B$17="F",DS17="EXC"),"F","-"))))</f>
        <v>-</v>
      </c>
      <c r="DU17" s="64" t="str">
        <f t="shared" si="36"/>
        <v/>
      </c>
      <c r="DV17" s="69"/>
      <c r="DW17" s="59" t="str">
        <f>IF(AND($B$17="M",DV17="WA"),"M",IF(AND($B$17="M",DV17="EXC"),"M",IF(AND($B$17="F",DV17="WA"),"F",IF(AND($B$17="F",DV17="EXC"),"F","-"))))</f>
        <v>-</v>
      </c>
      <c r="DX17" s="64" t="str">
        <f t="shared" si="37"/>
        <v/>
      </c>
      <c r="DY17" s="69"/>
      <c r="DZ17" s="59" t="str">
        <f>IF(AND($B$17="M",DY17="WA"),"M",IF(AND($B$17="M",DY17="EXC"),"M",IF(AND($B$17="F",DY17="WA"),"F",IF(AND($B$17="F",DY17="EXC"),"F","-"))))</f>
        <v>-</v>
      </c>
      <c r="EA17" s="64" t="str">
        <f t="shared" si="38"/>
        <v/>
      </c>
      <c r="EB17" s="69"/>
      <c r="EC17" s="59" t="str">
        <f>IF(AND($B$17="M",EB17="WA"),"M",IF(AND($B$17="M",EB17="EXC"),"M",IF(AND($B$17="F",EB17="WA"),"F",IF(AND($B$17="F",EB17="EXC"),"F","-"))))</f>
        <v>-</v>
      </c>
      <c r="ED17" s="64" t="str">
        <f t="shared" si="39"/>
        <v/>
      </c>
      <c r="EE17" s="69"/>
      <c r="EF17" s="59" t="str">
        <f>IF(AND($B$17="M",EE17="WA"),"M",IF(AND($B$17="M",EE17="EXC"),"M",IF(AND($B$17="F",EE17="WA"),"F",IF(AND($B$17="F",EE17="EXC"),"F","-"))))</f>
        <v>-</v>
      </c>
      <c r="EG17" s="61" t="str">
        <f t="shared" si="40"/>
        <v/>
      </c>
      <c r="EH17" s="69"/>
      <c r="EI17" s="59" t="str">
        <f>IF(AND($B$17="M",EH17="WA"),"M",IF(AND($B$17="M",EH17="EXC"),"M",IF(AND($B$17="F",EH17="WA"),"F",IF(AND($B$17="F",EH17="EXC"),"F","-"))))</f>
        <v>-</v>
      </c>
      <c r="EJ17" s="61" t="str">
        <f t="shared" si="41"/>
        <v/>
      </c>
      <c r="EK17" s="61" t="str">
        <f t="shared" si="42"/>
        <v/>
      </c>
      <c r="EL17" s="65"/>
      <c r="EM17" s="47" t="str">
        <f>IF(AND($B$17="M",EL17="WA"),"M",IF(AND($B$17="M",EL17="EXC"),"M",IF(AND($B$17="F",EL17="WA"),"F",IF(AND($B$17="F",EL17="EXC"),"F","-"))))</f>
        <v>-</v>
      </c>
      <c r="EN17" s="68"/>
      <c r="EO17" s="66"/>
      <c r="EP17" s="48"/>
      <c r="EQ17" s="70"/>
      <c r="ER17" s="59" t="str">
        <f>IF(AND($B$17="M",EQ17="WA"),"M",IF(AND($B$17="M",EQ17="EXC"),"M",IF(AND($B$17="F",EQ17="WA"),"F",IF(AND($B$17="F",EQ17="EXC"),"F","-"))))</f>
        <v>-</v>
      </c>
      <c r="ES17" s="64" t="str">
        <f t="shared" si="43"/>
        <v/>
      </c>
      <c r="ET17" s="69"/>
      <c r="EU17" s="59" t="str">
        <f>IF(AND($B$17="M",ET17="WA"),"M",IF(AND($B$17="M",ET17="EXC"),"M",IF(AND($B$17="F",ET17="WA"),"F",IF(AND($B$17="F",ET17="EXC"),"F","-"))))</f>
        <v>-</v>
      </c>
      <c r="EV17" s="64" t="str">
        <f t="shared" si="44"/>
        <v/>
      </c>
      <c r="EW17" s="69"/>
      <c r="EX17" s="59" t="str">
        <f>IF(AND($B$17="M",EW17="WA"),"M",IF(AND($B$17="M",EW17="EXC"),"M",IF(AND($B$17="F",EW17="WA"),"F",IF(AND($B$17="F",EW17="EXC"),"F","-"))))</f>
        <v>-</v>
      </c>
      <c r="EY17" s="64" t="str">
        <f t="shared" si="45"/>
        <v/>
      </c>
      <c r="EZ17" s="69"/>
      <c r="FA17" s="59" t="str">
        <f>IF(AND($B$17="M",EZ17="WA"),"M",IF(AND($B$17="M",EZ17="EXC"),"M",IF(AND($B$17="F",EZ17="WA"),"F",IF(AND($B$17="F",EZ17="EXC"),"F","-"))))</f>
        <v>-</v>
      </c>
      <c r="FB17" s="64" t="str">
        <f t="shared" si="46"/>
        <v/>
      </c>
      <c r="FC17" s="69"/>
      <c r="FD17" s="59" t="str">
        <f>IF(AND($B$17="M",FC17="WA"),"M",IF(AND($B$17="M",FC17="EXC"),"M",IF(AND($B$17="F",FC17="WA"),"F",IF(AND($B$17="F",FC17="EXC"),"F","-"))))</f>
        <v>-</v>
      </c>
      <c r="FE17" s="61" t="str">
        <f t="shared" si="47"/>
        <v/>
      </c>
      <c r="FF17" s="69"/>
      <c r="FG17" s="59" t="str">
        <f>IF(AND($B$17="M",FF17="WA"),"M",IF(AND($B$17="M",FF17="EXC"),"M",IF(AND($B$17="F",FF17="WA"),"F",IF(AND($B$17="F",FF17="EXC"),"F","-"))))</f>
        <v>-</v>
      </c>
      <c r="FH17" s="61" t="str">
        <f t="shared" si="48"/>
        <v/>
      </c>
      <c r="FI17" s="61" t="str">
        <f t="shared" si="49"/>
        <v/>
      </c>
      <c r="FJ17" s="65"/>
      <c r="FK17" s="47" t="str">
        <f>IF(AND($B$17="M",FJ17="WA"),"M",IF(AND($B$17="M",FJ17="EXC"),"M",IF(AND($B$17="F",FJ17="WA"),"F",IF(AND($B$17="F",FJ17="EXC"),"F","-"))))</f>
        <v>-</v>
      </c>
      <c r="FL17" s="68"/>
      <c r="FM17" s="66"/>
      <c r="FN17" s="48"/>
      <c r="FO17" s="70"/>
      <c r="FP17" s="59" t="str">
        <f>IF(AND($B$17="M",FO17="WA"),"M",IF(AND($B$17="M",FO17="EXC"),"M",IF(AND($B$17="F",FO17="WA"),"F",IF(AND($B$17="F",FO17="EXC"),"F","-"))))</f>
        <v>-</v>
      </c>
      <c r="FQ17" s="64" t="str">
        <f t="shared" si="50"/>
        <v/>
      </c>
      <c r="FR17" s="69"/>
      <c r="FS17" s="59" t="str">
        <f>IF(AND($B$17="M",FR17="WA"),"M",IF(AND($B$17="M",FR17="EXC"),"M",IF(AND($B$17="F",FR17="WA"),"F",IF(AND($B$17="F",FR17="EXC"),"F","-"))))</f>
        <v>-</v>
      </c>
      <c r="FT17" s="64" t="str">
        <f t="shared" si="51"/>
        <v/>
      </c>
      <c r="FU17" s="69"/>
      <c r="FV17" s="59" t="str">
        <f>IF(AND($B$17="M",FU17="WA"),"M",IF(AND($B$17="M",FU17="EXC"),"M",IF(AND($B$17="F",FU17="WA"),"F",IF(AND($B$17="F",FU17="EXC"),"F","-"))))</f>
        <v>-</v>
      </c>
      <c r="FW17" s="64" t="str">
        <f t="shared" si="52"/>
        <v/>
      </c>
      <c r="FX17" s="69"/>
      <c r="FY17" s="59" t="str">
        <f>IF(AND($B$17="M",FX17="WA"),"M",IF(AND($B$17="M",FX17="EXC"),"M",IF(AND($B$17="F",FX17="WA"),"F",IF(AND($B$17="F",FX17="EXC"),"F","-"))))</f>
        <v>-</v>
      </c>
      <c r="FZ17" s="64" t="str">
        <f t="shared" si="53"/>
        <v/>
      </c>
      <c r="GA17" s="69"/>
      <c r="GB17" s="59" t="str">
        <f>IF(AND($B$17="M",GA17="WA"),"M",IF(AND($B$17="M",GA17="EXC"),"M",IF(AND($B$17="F",GA17="WA"),"F",IF(AND($B$17="F",GA17="EXC"),"F","-"))))</f>
        <v>-</v>
      </c>
      <c r="GC17" s="61" t="str">
        <f t="shared" si="54"/>
        <v/>
      </c>
      <c r="GD17" s="69"/>
      <c r="GE17" s="59" t="str">
        <f>IF(AND($B$17="M",GD17="WA"),"M",IF(AND($B$17="M",GD17="EXC"),"M",IF(AND($B$17="F",GD17="WA"),"F",IF(AND($B$17="F",GD17="EXC"),"F","-"))))</f>
        <v>-</v>
      </c>
      <c r="GF17" s="61" t="str">
        <f t="shared" si="55"/>
        <v/>
      </c>
      <c r="GG17" s="61" t="str">
        <f t="shared" si="56"/>
        <v/>
      </c>
      <c r="GH17" s="65"/>
      <c r="GI17" s="47" t="str">
        <f>IF(AND($B$17="M",GH17="WA"),"M",IF(AND($B$17="M",GH17="EXC"),"M",IF(AND($B$17="F",GH17="WA"),"F",IF(AND($B$17="F",GH17="EXC"),"F","-"))))</f>
        <v>-</v>
      </c>
      <c r="GJ17" s="68"/>
      <c r="GK17" s="66"/>
      <c r="GL17" s="48"/>
      <c r="GM17" s="70"/>
      <c r="GN17" s="59" t="str">
        <f>IF(AND($B$17="M",GM17="WA"),"M",IF(AND($B$17="M",GM17="EXC"),"M",IF(AND($B$17="F",GM17="WA"),"F",IF(AND($B$17="F",GM17="EXC"),"F","-"))))</f>
        <v>-</v>
      </c>
      <c r="GO17" s="64" t="str">
        <f t="shared" si="57"/>
        <v/>
      </c>
      <c r="GP17" s="69"/>
      <c r="GQ17" s="59" t="str">
        <f>IF(AND($B$17="M",GP17="WA"),"M",IF(AND($B$17="M",GP17="EXC"),"M",IF(AND($B$17="F",GP17="WA"),"F",IF(AND($B$17="F",GP17="EXC"),"F","-"))))</f>
        <v>-</v>
      </c>
      <c r="GR17" s="64" t="str">
        <f t="shared" si="58"/>
        <v/>
      </c>
      <c r="GS17" s="69"/>
      <c r="GT17" s="59" t="str">
        <f>IF(AND($B$17="M",GS17="WA"),"M",IF(AND($B$17="M",GS17="EXC"),"M",IF(AND($B$17="F",GS17="WA"),"F",IF(AND($B$17="F",GS17="EXC"),"F","-"))))</f>
        <v>-</v>
      </c>
      <c r="GU17" s="64" t="str">
        <f t="shared" si="59"/>
        <v/>
      </c>
      <c r="GV17" s="61" t="str">
        <f t="shared" si="60"/>
        <v/>
      </c>
      <c r="GW17" s="65"/>
      <c r="GX17" s="47" t="str">
        <f>IF(AND($B$17="M",GW17="WA"),"M",IF(AND($B$17="M",GW17="EXC"),"M",IF(AND($B$17="F",GW17="WA"),"F",IF(AND($B$17="F",GW17="EXC"),"F","-"))))</f>
        <v>-</v>
      </c>
      <c r="GY17" s="68"/>
      <c r="GZ17" s="66"/>
      <c r="HA17" s="48"/>
      <c r="HB17" s="70"/>
      <c r="HC17" s="59" t="str">
        <f>IF(AND($B$17="M",HB17="WA"),"M",IF(AND($B$17="M",HB17="EXC"),"M",IF(AND($B$17="F",HB17="WA"),"F",IF(AND($B$17="F",HB17="EXC"),"F","-"))))</f>
        <v>-</v>
      </c>
      <c r="HD17" s="64" t="str">
        <f t="shared" si="61"/>
        <v/>
      </c>
      <c r="HE17" s="69"/>
      <c r="HF17" s="59" t="str">
        <f>IF(AND($B$17="M",HE17="WA"),"M",IF(AND($B$17="M",HE17="EXC"),"M",IF(AND($B$17="F",HE17="WA"),"F",IF(AND($B$17="F",HE17="EXC"),"F","-"))))</f>
        <v>-</v>
      </c>
      <c r="HG17" s="64" t="str">
        <f t="shared" si="62"/>
        <v/>
      </c>
      <c r="HH17" s="69"/>
      <c r="HI17" s="59" t="str">
        <f>IF(AND($B$17="M",HH17="WA"),"M",IF(AND($B$17="M",HH17="EXC"),"M",IF(AND($B$17="F",HH17="WA"),"F",IF(AND($B$17="F",HH17="EXC"),"F","-"))))</f>
        <v>-</v>
      </c>
      <c r="HJ17" s="64" t="str">
        <f t="shared" si="63"/>
        <v/>
      </c>
      <c r="HK17" s="61" t="str">
        <f t="shared" si="64"/>
        <v/>
      </c>
      <c r="HL17" s="65"/>
      <c r="HM17" s="47" t="str">
        <f>IF(AND($B$17="M",HL17="WA"),"M",IF(AND($B$17="M",HL17="EXC"),"M",IF(AND($B$17="F",HL17="WA"),"F",IF(AND($B$17="F",HL17="EXC"),"F","-"))))</f>
        <v>-</v>
      </c>
      <c r="HN17" s="13"/>
      <c r="HO17" s="14"/>
      <c r="HP17" s="15"/>
      <c r="HQ17" s="54"/>
      <c r="HR17" s="55" t="str">
        <f>IF(AND($B$17="M",HQ17="WA"),"M",IF(AND($B$17="M",HQ17="EXC"),"M",IF(AND($B$17="F",HQ17="WA"),"F",IF(AND($B$17="F",HQ17="EXC"),"F","-"))))</f>
        <v>-</v>
      </c>
      <c r="HS17" s="56" t="str">
        <f t="shared" si="65"/>
        <v/>
      </c>
      <c r="HT17" s="54"/>
      <c r="HU17" s="55" t="str">
        <f>IF(AND($B$17="M",HT17="WA"),"M",IF(AND($B$17="M",HT17="EXC"),"M",IF(AND($B$17="F",HT17="WA"),"F",IF(AND($B$17="F",HT17="EXC"),"F","-"))))</f>
        <v>-</v>
      </c>
      <c r="HV17" s="56" t="str">
        <f t="shared" si="66"/>
        <v/>
      </c>
      <c r="HW17" s="54"/>
      <c r="HX17" s="55" t="str">
        <f>IF(AND($B$17="M",HW17="WA"),"M",IF(AND($B$17="M",HW17="EXC"),"M",IF(AND($B$17="F",HW17="WA"),"F",IF(AND($B$17="F",HW17="EXC"),"F","-"))))</f>
        <v>-</v>
      </c>
      <c r="HY17" s="56" t="str">
        <f t="shared" si="67"/>
        <v/>
      </c>
      <c r="HZ17" s="54" t="str">
        <f t="shared" si="68"/>
        <v/>
      </c>
      <c r="IA17" s="67"/>
      <c r="IB17" s="55" t="str">
        <f>IF(AND($B$17="M",IA17="WA"),"M",IF(AND($B$17="M",IA17="EXC"),"M",IF(AND($B$17="F",IA17="WA"),"F",IF(AND($B$17="F",IA17="EXC"),"F","-"))))</f>
        <v>-</v>
      </c>
      <c r="IC17" s="17"/>
    </row>
    <row r="18">
      <c r="A18" s="40"/>
      <c r="B18" s="41"/>
      <c r="C18" s="69"/>
      <c r="D18" s="59" t="str">
        <f>IF(AND($B$18="M",C18="WA"),"M",IF(AND($B$18="M",C18="EXC"),"M",IF(AND($B$18="F",C18="WA"),"F",IF(AND($B$18="F",C18="EXC"),"F","-"))))</f>
        <v>-</v>
      </c>
      <c r="E18" s="60" t="str">
        <f t="shared" si="1"/>
        <v/>
      </c>
      <c r="F18" s="69"/>
      <c r="G18" s="59" t="str">
        <f>IF(AND($B$18="M",F18="WA"),"M",IF(AND($B$18="M",F18="EXC"),"M",IF(AND($B$18="F",F18="WA"),"F",IF(AND($B$18="F",F18="EXC"),"F","-"))))</f>
        <v>-</v>
      </c>
      <c r="H18" s="60" t="str">
        <f t="shared" si="2"/>
        <v/>
      </c>
      <c r="I18" s="69"/>
      <c r="J18" s="59" t="str">
        <f>IF(AND($B$18="M",I18="WA"),"M",IF(AND($B$18="M",I18="EXC"),"M",IF(AND($B$18="F",I18="WA"),"F",IF(AND($B$18="F",I18="EXC"),"F","-"))))</f>
        <v>-</v>
      </c>
      <c r="K18" s="60" t="str">
        <f t="shared" si="3"/>
        <v/>
      </c>
      <c r="L18" s="69"/>
      <c r="M18" s="59" t="str">
        <f>IF(AND($B$18="M",L18="WA"),"M",IF(AND($B$18="M",L18="EXC"),"M",IF(AND($B$18="F",L18="WA"),"F",IF(AND($B$18="F",L18="EXC"),"F","-"))))</f>
        <v>-</v>
      </c>
      <c r="N18" s="60" t="str">
        <f t="shared" si="4"/>
        <v/>
      </c>
      <c r="O18" s="69"/>
      <c r="P18" s="59" t="str">
        <f>IF(AND($B$18="M",O18="WA"),"M",IF(AND($B$18="M",O18="EXC"),"M",IF(AND($B$18="F",O18="WA"),"F",IF(AND($B$18="F",O18="EXC"),"F","-"))))</f>
        <v>-</v>
      </c>
      <c r="Q18" s="60" t="str">
        <f t="shared" si="5"/>
        <v/>
      </c>
      <c r="R18" s="69"/>
      <c r="S18" s="59" t="str">
        <f>IF(AND($B$18="M",R18="WA"),"M",IF(AND($B$18="M",R18="EXC"),"M",IF(AND($B$18="F",R18="WA"),"F",IF(AND($B$18="F",R18="EXC"),"F","-"))))</f>
        <v>-</v>
      </c>
      <c r="T18" s="60" t="str">
        <f t="shared" si="6"/>
        <v/>
      </c>
      <c r="U18" s="61" t="str">
        <f t="shared" si="7"/>
        <v/>
      </c>
      <c r="V18" s="62"/>
      <c r="W18" s="47" t="str">
        <f>IF(AND($B$18="M",V18="WA"),"M",IF(AND($B$18="M",V18="EXC"),"M",IF(AND($B$18="F",V18="WA"),"F",IF(AND($B$18="F",V18="EXC"),"F","-"))))</f>
        <v>-</v>
      </c>
      <c r="X18" s="48"/>
      <c r="Y18" s="49"/>
      <c r="Z18" s="48"/>
      <c r="AA18" s="70"/>
      <c r="AB18" s="59" t="str">
        <f>IF(AND($B$18="M",AA18="WA"),"M",IF(AND($B$18="M",AA18="EXC"),"M",IF(AND($B$18="F",AA18="WA"),"F",IF(AND($B$18="F",AA18="EXC"),"F","-"))))</f>
        <v>-</v>
      </c>
      <c r="AC18" s="64" t="str">
        <f t="shared" si="8"/>
        <v/>
      </c>
      <c r="AD18" s="69"/>
      <c r="AE18" s="59" t="str">
        <f>IF(AND($B$18="M",AD18="WA"),"M",IF(AND($B$18="M",AD18="EXC"),"M",IF(AND($B$18="F",AD18="WA"),"F",IF(AND($B$18="F",AD18="EXC"),"F","-"))))</f>
        <v>-</v>
      </c>
      <c r="AF18" s="64" t="str">
        <f t="shared" si="9"/>
        <v/>
      </c>
      <c r="AG18" s="69"/>
      <c r="AH18" s="59" t="str">
        <f>IF(AND($B$18="M",AG18="WA"),"M",IF(AND($B$18="M",AG18="EXC"),"M",IF(AND($B$18="F",AG18="WA"),"F",IF(AND($B$18="F",AG18="EXC"),"F","-"))))</f>
        <v>-</v>
      </c>
      <c r="AI18" s="64" t="str">
        <f t="shared" si="10"/>
        <v/>
      </c>
      <c r="AJ18" s="69"/>
      <c r="AK18" s="59" t="str">
        <f>IF(AND($B$18="M",AJ18="WA"),"M",IF(AND($B$18="M",AJ18="EXC"),"M",IF(AND($B$18="F",AJ18="WA"),"F",IF(AND($B$18="F",AJ18="EXC"),"F","-"))))</f>
        <v>-</v>
      </c>
      <c r="AL18" s="64" t="str">
        <f t="shared" si="11"/>
        <v/>
      </c>
      <c r="AM18" s="69"/>
      <c r="AN18" s="59" t="str">
        <f>IF(AND($B$18="M",AM18="WA"),"M",IF(AND($B$18="M",AM18="EXC"),"M",IF(AND($B$18="F",AM18="WA"),"F",IF(AND($B$18="F",AM18="EXC"),"F","-"))))</f>
        <v>-</v>
      </c>
      <c r="AO18" s="61" t="str">
        <f t="shared" si="12"/>
        <v/>
      </c>
      <c r="AP18" s="69"/>
      <c r="AQ18" s="59" t="str">
        <f>IF(AND($B$18="M",AP18="WA"),"M",IF(AND($B$18="M",AP18="EXC"),"M",IF(AND($B$18="F",AP18="WA"),"F",IF(AND($B$18="F",AP18="EXC"),"F","-"))))</f>
        <v>-</v>
      </c>
      <c r="AR18" s="61" t="str">
        <f t="shared" si="13"/>
        <v/>
      </c>
      <c r="AS18" s="61" t="str">
        <f t="shared" si="14"/>
        <v/>
      </c>
      <c r="AT18" s="65"/>
      <c r="AU18" s="47" t="str">
        <f>IF(AND($B$18="M",AT18="WA"),"M",IF(AND($B$18="M",AT18="EXC"),"M",IF(AND($B$18="F",AT18="WA"),"F",IF(AND($B$18="F",AT18="EXC"),"F","-"))))</f>
        <v>-</v>
      </c>
      <c r="AV18" s="68"/>
      <c r="AW18" s="66"/>
      <c r="AX18" s="48"/>
      <c r="AY18" s="70"/>
      <c r="AZ18" s="59" t="str">
        <f>IF(AND($B$18="M",AY18="WA"),"M",IF(AND($B$18="M",AY18="EXC"),"M",IF(AND($B$18="F",AY18="WA"),"F",IF(AND($B$18="F",AY18="EXC"),"F","-"))))</f>
        <v>-</v>
      </c>
      <c r="BA18" s="64" t="str">
        <f t="shared" si="15"/>
        <v/>
      </c>
      <c r="BB18" s="69"/>
      <c r="BC18" s="59" t="str">
        <f>IF(AND($B$18="M",BB18="WA"),"M",IF(AND($B$18="M",BB18="EXC"),"M",IF(AND($B$18="F",BB18="WA"),"F",IF(AND($B$18="F",BB18="EXC"),"F","-"))))</f>
        <v>-</v>
      </c>
      <c r="BD18" s="64" t="str">
        <f t="shared" si="16"/>
        <v/>
      </c>
      <c r="BE18" s="69"/>
      <c r="BF18" s="59" t="str">
        <f>IF(AND($B$18="M",BE18="WA"),"M",IF(AND($B$18="M",BE18="EXC"),"M",IF(AND($B$18="F",BE18="WA"),"F",IF(AND($B$18="F",BE18="EXC"),"F","-"))))</f>
        <v>-</v>
      </c>
      <c r="BG18" s="64" t="str">
        <f t="shared" si="17"/>
        <v/>
      </c>
      <c r="BH18" s="69"/>
      <c r="BI18" s="59" t="str">
        <f>IF(AND($B$18="M",BH18="WA"),"M",IF(AND($B$18="M",BH18="EXC"),"M",IF(AND($B$18="F",BH18="WA"),"F",IF(AND($B$18="F",BH18="EXC"),"F","-"))))</f>
        <v>-</v>
      </c>
      <c r="BJ18" s="64" t="str">
        <f t="shared" si="18"/>
        <v/>
      </c>
      <c r="BK18" s="69"/>
      <c r="BL18" s="59" t="str">
        <f>IF(AND($B$18="M",BK18="WA"),"M",IF(AND($B$18="M",BK18="EXC"),"M",IF(AND($B$18="F",BK18="WA"),"F",IF(AND($B$18="F",BK18="EXC"),"F","-"))))</f>
        <v>-</v>
      </c>
      <c r="BM18" s="61" t="str">
        <f t="shared" si="19"/>
        <v/>
      </c>
      <c r="BN18" s="69"/>
      <c r="BO18" s="59" t="str">
        <f>IF(AND($B$18="M",BN18="WA"),"M",IF(AND($B$18="M",BN18="EXC"),"M",IF(AND($B$18="F",BN18="WA"),"F",IF(AND($B$18="F",BN18="EXC"),"F","-"))))</f>
        <v>-</v>
      </c>
      <c r="BP18" s="61" t="str">
        <f t="shared" si="20"/>
        <v/>
      </c>
      <c r="BQ18" s="61" t="str">
        <f t="shared" si="21"/>
        <v/>
      </c>
      <c r="BR18" s="65"/>
      <c r="BS18" s="47" t="str">
        <f>IF(AND($B$18="M",BR18="WA"),"M",IF(AND($B$18="M",BR18="EXC"),"M",IF(AND($B$18="F",BR18="WA"),"F",IF(AND($B$18="F",BR18="EXC"),"F","-"))))</f>
        <v>-</v>
      </c>
      <c r="BT18" s="68"/>
      <c r="BU18" s="66"/>
      <c r="BV18" s="48"/>
      <c r="BW18" s="70"/>
      <c r="BX18" s="59" t="str">
        <f>IF(AND($B$18="M",BW18="WA"),"M",IF(AND($B$18="M",BW18="EXC"),"M",IF(AND($B$18="F",BW18="WA"),"F",IF(AND($B$18="F",BW18="EXC"),"F","-"))))</f>
        <v>-</v>
      </c>
      <c r="BY18" s="64" t="str">
        <f t="shared" si="22"/>
        <v/>
      </c>
      <c r="BZ18" s="69"/>
      <c r="CA18" s="59" t="str">
        <f>IF(AND($B$18="M",BZ18="WA"),"M",IF(AND($B$18="M",BZ18="EXC"),"M",IF(AND($B$18="F",BZ18="WA"),"F",IF(AND($B$18="F",BZ18="EXC"),"F","-"))))</f>
        <v>-</v>
      </c>
      <c r="CB18" s="64" t="str">
        <f t="shared" si="23"/>
        <v/>
      </c>
      <c r="CC18" s="69"/>
      <c r="CD18" s="59" t="str">
        <f>IF(AND($B$18="M",CC18="WA"),"M",IF(AND($B$18="M",CC18="EXC"),"M",IF(AND($B$18="F",CC18="WA"),"F",IF(AND($B$18="F",CC18="EXC"),"F","-"))))</f>
        <v>-</v>
      </c>
      <c r="CE18" s="64" t="str">
        <f t="shared" si="24"/>
        <v/>
      </c>
      <c r="CF18" s="69"/>
      <c r="CG18" s="59" t="str">
        <f>IF(AND($B$18="M",CF18="WA"),"M",IF(AND($B$18="M",CF18="EXC"),"M",IF(AND($B$18="F",CF18="WA"),"F",IF(AND($B$18="F",CF18="EXC"),"F","-"))))</f>
        <v>-</v>
      </c>
      <c r="CH18" s="64" t="str">
        <f t="shared" si="25"/>
        <v/>
      </c>
      <c r="CI18" s="69"/>
      <c r="CJ18" s="59" t="str">
        <f>IF(AND($B$18="M",CI18="WA"),"M",IF(AND($B$18="M",CI18="EXC"),"M",IF(AND($B$18="F",CI18="WA"),"F",IF(AND($B$18="F",CI18="EXC"),"F","-"))))</f>
        <v>-</v>
      </c>
      <c r="CK18" s="61" t="str">
        <f t="shared" si="26"/>
        <v/>
      </c>
      <c r="CL18" s="69"/>
      <c r="CM18" s="59" t="str">
        <f>IF(AND($B$18="M",CL18="WA"),"M",IF(AND($B$18="M",CL18="EXC"),"M",IF(AND($B$18="F",CL18="WA"),"F",IF(AND($B$18="F",CL18="EXC"),"F","-"))))</f>
        <v>-</v>
      </c>
      <c r="CN18" s="61" t="str">
        <f t="shared" si="27"/>
        <v/>
      </c>
      <c r="CO18" s="61" t="str">
        <f t="shared" si="28"/>
        <v/>
      </c>
      <c r="CP18" s="65"/>
      <c r="CQ18" s="47" t="str">
        <f>IF(AND($B$18="M",CP18="WA"),"M",IF(AND($B$18="M",CP18="EXC"),"M",IF(AND($B$18="F",CP18="WA"),"F",IF(AND($B$18="F",CP18="EXC"),"F","-"))))</f>
        <v>-</v>
      </c>
      <c r="CR18" s="68"/>
      <c r="CS18" s="66"/>
      <c r="CT18" s="48"/>
      <c r="CU18" s="70"/>
      <c r="CV18" s="59" t="str">
        <f>IF(AND($B$18="M",CU18="WA"),"M",IF(AND($B$18="M",CU18="EXC"),"M",IF(AND($B$18="F",CU18="WA"),"F",IF(AND($B$18="F",CU18="EXC"),"F","-"))))</f>
        <v>-</v>
      </c>
      <c r="CW18" s="64" t="str">
        <f t="shared" si="29"/>
        <v/>
      </c>
      <c r="CX18" s="69"/>
      <c r="CY18" s="59" t="str">
        <f>IF(AND($B$18="M",CX18="WA"),"M",IF(AND($B$18="M",CX18="EXC"),"M",IF(AND($B$18="F",CX18="WA"),"F",IF(AND($B$18="F",CX18="EXC"),"F","-"))))</f>
        <v>-</v>
      </c>
      <c r="CZ18" s="64" t="str">
        <f t="shared" si="30"/>
        <v/>
      </c>
      <c r="DA18" s="69"/>
      <c r="DB18" s="59" t="str">
        <f>IF(AND($B$18="M",DA18="WA"),"M",IF(AND($B$18="M",DA18="EXC"),"M",IF(AND($B$18="F",DA18="WA"),"F",IF(AND($B$18="F",DA18="EXC"),"F","-"))))</f>
        <v>-</v>
      </c>
      <c r="DC18" s="64" t="str">
        <f t="shared" si="31"/>
        <v/>
      </c>
      <c r="DD18" s="69"/>
      <c r="DE18" s="59" t="str">
        <f>IF(AND($B$18="M",DD18="WA"),"M",IF(AND($B$18="M",DD18="EXC"),"M",IF(AND($B$18="F",DD18="WA"),"F",IF(AND($B$18="F",DD18="EXC"),"F","-"))))</f>
        <v>-</v>
      </c>
      <c r="DF18" s="64" t="str">
        <f t="shared" si="32"/>
        <v/>
      </c>
      <c r="DG18" s="69"/>
      <c r="DH18" s="59" t="str">
        <f>IF(AND($B$18="M",DG18="WA"),"M",IF(AND($B$18="M",DG18="EXC"),"M",IF(AND($B$18="F",DG18="WA"),"F",IF(AND($B$18="F",DG18="EXC"),"F","-"))))</f>
        <v>-</v>
      </c>
      <c r="DI18" s="61" t="str">
        <f t="shared" si="33"/>
        <v/>
      </c>
      <c r="DJ18" s="69"/>
      <c r="DK18" s="59" t="str">
        <f>IF(AND($B$18="M",DJ18="WA"),"M",IF(AND($B$18="M",DJ18="EXC"),"M",IF(AND($B$18="F",DJ18="WA"),"F",IF(AND($B$18="F",DJ18="EXC"),"F","-"))))</f>
        <v>-</v>
      </c>
      <c r="DL18" s="61" t="str">
        <f t="shared" si="34"/>
        <v/>
      </c>
      <c r="DM18" s="61" t="str">
        <f t="shared" si="35"/>
        <v/>
      </c>
      <c r="DN18" s="65"/>
      <c r="DO18" s="47" t="str">
        <f>IF(AND($B$18="M",DN18="WA"),"M",IF(AND($B$18="M",DN18="EXC"),"M",IF(AND($B$18="F",DN18="WA"),"F",IF(AND($B$18="F",DN18="EXC"),"F","-"))))</f>
        <v>-</v>
      </c>
      <c r="DP18" s="68"/>
      <c r="DQ18" s="66"/>
      <c r="DR18" s="48"/>
      <c r="DS18" s="70"/>
      <c r="DT18" s="59" t="str">
        <f>IF(AND($B$18="M",DS18="WA"),"M",IF(AND($B$18="M",DS18="EXC"),"M",IF(AND($B$18="F",DS18="WA"),"F",IF(AND($B$18="F",DS18="EXC"),"F","-"))))</f>
        <v>-</v>
      </c>
      <c r="DU18" s="64" t="str">
        <f t="shared" si="36"/>
        <v/>
      </c>
      <c r="DV18" s="69"/>
      <c r="DW18" s="59" t="str">
        <f>IF(AND($B$18="M",DV18="WA"),"M",IF(AND($B$18="M",DV18="EXC"),"M",IF(AND($B$18="F",DV18="WA"),"F",IF(AND($B$18="F",DV18="EXC"),"F","-"))))</f>
        <v>-</v>
      </c>
      <c r="DX18" s="64" t="str">
        <f t="shared" si="37"/>
        <v/>
      </c>
      <c r="DY18" s="69"/>
      <c r="DZ18" s="59" t="str">
        <f>IF(AND($B$18="M",DY18="WA"),"M",IF(AND($B$18="M",DY18="EXC"),"M",IF(AND($B$18="F",DY18="WA"),"F",IF(AND($B$18="F",DY18="EXC"),"F","-"))))</f>
        <v>-</v>
      </c>
      <c r="EA18" s="64" t="str">
        <f t="shared" si="38"/>
        <v/>
      </c>
      <c r="EB18" s="69"/>
      <c r="EC18" s="59" t="str">
        <f>IF(AND($B$18="M",EB18="WA"),"M",IF(AND($B$18="M",EB18="EXC"),"M",IF(AND($B$18="F",EB18="WA"),"F",IF(AND($B$18="F",EB18="EXC"),"F","-"))))</f>
        <v>-</v>
      </c>
      <c r="ED18" s="64" t="str">
        <f t="shared" si="39"/>
        <v/>
      </c>
      <c r="EE18" s="69"/>
      <c r="EF18" s="59" t="str">
        <f>IF(AND($B$18="M",EE18="WA"),"M",IF(AND($B$18="M",EE18="EXC"),"M",IF(AND($B$18="F",EE18="WA"),"F",IF(AND($B$18="F",EE18="EXC"),"F","-"))))</f>
        <v>-</v>
      </c>
      <c r="EG18" s="61" t="str">
        <f t="shared" si="40"/>
        <v/>
      </c>
      <c r="EH18" s="69"/>
      <c r="EI18" s="59" t="str">
        <f>IF(AND($B$18="M",EH18="WA"),"M",IF(AND($B$18="M",EH18="EXC"),"M",IF(AND($B$18="F",EH18="WA"),"F",IF(AND($B$18="F",EH18="EXC"),"F","-"))))</f>
        <v>-</v>
      </c>
      <c r="EJ18" s="61" t="str">
        <f t="shared" si="41"/>
        <v/>
      </c>
      <c r="EK18" s="61" t="str">
        <f t="shared" si="42"/>
        <v/>
      </c>
      <c r="EL18" s="65"/>
      <c r="EM18" s="47" t="str">
        <f>IF(AND($B$18="M",EL18="WA"),"M",IF(AND($B$18="M",EL18="EXC"),"M",IF(AND($B$18="F",EL18="WA"),"F",IF(AND($B$18="F",EL18="EXC"),"F","-"))))</f>
        <v>-</v>
      </c>
      <c r="EN18" s="68"/>
      <c r="EO18" s="66"/>
      <c r="EP18" s="48"/>
      <c r="EQ18" s="70"/>
      <c r="ER18" s="59" t="str">
        <f>IF(AND($B$18="M",EQ18="WA"),"M",IF(AND($B$18="M",EQ18="EXC"),"M",IF(AND($B$18="F",EQ18="WA"),"F",IF(AND($B$18="F",EQ18="EXC"),"F","-"))))</f>
        <v>-</v>
      </c>
      <c r="ES18" s="64" t="str">
        <f t="shared" si="43"/>
        <v/>
      </c>
      <c r="ET18" s="69"/>
      <c r="EU18" s="59" t="str">
        <f>IF(AND($B$18="M",ET18="WA"),"M",IF(AND($B$18="M",ET18="EXC"),"M",IF(AND($B$18="F",ET18="WA"),"F",IF(AND($B$18="F",ET18="EXC"),"F","-"))))</f>
        <v>-</v>
      </c>
      <c r="EV18" s="64" t="str">
        <f t="shared" si="44"/>
        <v/>
      </c>
      <c r="EW18" s="69"/>
      <c r="EX18" s="59" t="str">
        <f>IF(AND($B$18="M",EW18="WA"),"M",IF(AND($B$18="M",EW18="EXC"),"M",IF(AND($B$18="F",EW18="WA"),"F",IF(AND($B$18="F",EW18="EXC"),"F","-"))))</f>
        <v>-</v>
      </c>
      <c r="EY18" s="64" t="str">
        <f t="shared" si="45"/>
        <v/>
      </c>
      <c r="EZ18" s="69"/>
      <c r="FA18" s="59" t="str">
        <f>IF(AND($B$18="M",EZ18="WA"),"M",IF(AND($B$18="M",EZ18="EXC"),"M",IF(AND($B$18="F",EZ18="WA"),"F",IF(AND($B$18="F",EZ18="EXC"),"F","-"))))</f>
        <v>-</v>
      </c>
      <c r="FB18" s="64" t="str">
        <f t="shared" si="46"/>
        <v/>
      </c>
      <c r="FC18" s="69"/>
      <c r="FD18" s="59" t="str">
        <f>IF(AND($B$18="M",FC18="WA"),"M",IF(AND($B$18="M",FC18="EXC"),"M",IF(AND($B$18="F",FC18="WA"),"F",IF(AND($B$18="F",FC18="EXC"),"F","-"))))</f>
        <v>-</v>
      </c>
      <c r="FE18" s="61" t="str">
        <f t="shared" si="47"/>
        <v/>
      </c>
      <c r="FF18" s="69"/>
      <c r="FG18" s="59" t="str">
        <f>IF(AND($B$18="M",FF18="WA"),"M",IF(AND($B$18="M",FF18="EXC"),"M",IF(AND($B$18="F",FF18="WA"),"F",IF(AND($B$18="F",FF18="EXC"),"F","-"))))</f>
        <v>-</v>
      </c>
      <c r="FH18" s="61" t="str">
        <f t="shared" si="48"/>
        <v/>
      </c>
      <c r="FI18" s="61" t="str">
        <f t="shared" si="49"/>
        <v/>
      </c>
      <c r="FJ18" s="65"/>
      <c r="FK18" s="47" t="str">
        <f>IF(AND($B$18="M",FJ18="WA"),"M",IF(AND($B$18="M",FJ18="EXC"),"M",IF(AND($B$18="F",FJ18="WA"),"F",IF(AND($B$18="F",FJ18="EXC"),"F","-"))))</f>
        <v>-</v>
      </c>
      <c r="FL18" s="68"/>
      <c r="FM18" s="66"/>
      <c r="FN18" s="48"/>
      <c r="FO18" s="70"/>
      <c r="FP18" s="59" t="str">
        <f>IF(AND($B$18="M",FO18="WA"),"M",IF(AND($B$18="M",FO18="EXC"),"M",IF(AND($B$18="F",FO18="WA"),"F",IF(AND($B$18="F",FO18="EXC"),"F","-"))))</f>
        <v>-</v>
      </c>
      <c r="FQ18" s="64" t="str">
        <f t="shared" si="50"/>
        <v/>
      </c>
      <c r="FR18" s="69"/>
      <c r="FS18" s="59" t="str">
        <f>IF(AND($B$18="M",FR18="WA"),"M",IF(AND($B$18="M",FR18="EXC"),"M",IF(AND($B$18="F",FR18="WA"),"F",IF(AND($B$18="F",FR18="EXC"),"F","-"))))</f>
        <v>-</v>
      </c>
      <c r="FT18" s="64" t="str">
        <f t="shared" si="51"/>
        <v/>
      </c>
      <c r="FU18" s="69"/>
      <c r="FV18" s="59" t="str">
        <f>IF(AND($B$18="M",FU18="WA"),"M",IF(AND($B$18="M",FU18="EXC"),"M",IF(AND($B$18="F",FU18="WA"),"F",IF(AND($B$18="F",FU18="EXC"),"F","-"))))</f>
        <v>-</v>
      </c>
      <c r="FW18" s="64" t="str">
        <f t="shared" si="52"/>
        <v/>
      </c>
      <c r="FX18" s="69"/>
      <c r="FY18" s="59" t="str">
        <f>IF(AND($B$18="M",FX18="WA"),"M",IF(AND($B$18="M",FX18="EXC"),"M",IF(AND($B$18="F",FX18="WA"),"F",IF(AND($B$18="F",FX18="EXC"),"F","-"))))</f>
        <v>-</v>
      </c>
      <c r="FZ18" s="64" t="str">
        <f t="shared" si="53"/>
        <v/>
      </c>
      <c r="GA18" s="69"/>
      <c r="GB18" s="59" t="str">
        <f>IF(AND($B$18="M",GA18="WA"),"M",IF(AND($B$18="M",GA18="EXC"),"M",IF(AND($B$18="F",GA18="WA"),"F",IF(AND($B$18="F",GA18="EXC"),"F","-"))))</f>
        <v>-</v>
      </c>
      <c r="GC18" s="61" t="str">
        <f t="shared" si="54"/>
        <v/>
      </c>
      <c r="GD18" s="69"/>
      <c r="GE18" s="59" t="str">
        <f>IF(AND($B$18="M",GD18="WA"),"M",IF(AND($B$18="M",GD18="EXC"),"M",IF(AND($B$18="F",GD18="WA"),"F",IF(AND($B$18="F",GD18="EXC"),"F","-"))))</f>
        <v>-</v>
      </c>
      <c r="GF18" s="61" t="str">
        <f t="shared" si="55"/>
        <v/>
      </c>
      <c r="GG18" s="61" t="str">
        <f t="shared" si="56"/>
        <v/>
      </c>
      <c r="GH18" s="65"/>
      <c r="GI18" s="47" t="str">
        <f>IF(AND($B$18="M",GH18="WA"),"M",IF(AND($B$18="M",GH18="EXC"),"M",IF(AND($B$18="F",GH18="WA"),"F",IF(AND($B$18="F",GH18="EXC"),"F","-"))))</f>
        <v>-</v>
      </c>
      <c r="GJ18" s="68"/>
      <c r="GK18" s="66"/>
      <c r="GL18" s="48"/>
      <c r="GM18" s="70"/>
      <c r="GN18" s="59" t="str">
        <f>IF(AND($B$18="M",GM18="WA"),"M",IF(AND($B$18="M",GM18="EXC"),"M",IF(AND($B$18="F",GM18="WA"),"F",IF(AND($B$18="F",GM18="EXC"),"F","-"))))</f>
        <v>-</v>
      </c>
      <c r="GO18" s="64" t="str">
        <f t="shared" si="57"/>
        <v/>
      </c>
      <c r="GP18" s="69"/>
      <c r="GQ18" s="59" t="str">
        <f>IF(AND($B$18="M",GP18="WA"),"M",IF(AND($B$18="M",GP18="EXC"),"M",IF(AND($B$18="F",GP18="WA"),"F",IF(AND($B$18="F",GP18="EXC"),"F","-"))))</f>
        <v>-</v>
      </c>
      <c r="GR18" s="64" t="str">
        <f t="shared" si="58"/>
        <v/>
      </c>
      <c r="GS18" s="69"/>
      <c r="GT18" s="59" t="str">
        <f>IF(AND($B$18="M",GS18="WA"),"M",IF(AND($B$18="M",GS18="EXC"),"M",IF(AND($B$18="F",GS18="WA"),"F",IF(AND($B$18="F",GS18="EXC"),"F","-"))))</f>
        <v>-</v>
      </c>
      <c r="GU18" s="64" t="str">
        <f t="shared" si="59"/>
        <v/>
      </c>
      <c r="GV18" s="61" t="str">
        <f t="shared" si="60"/>
        <v/>
      </c>
      <c r="GW18" s="65"/>
      <c r="GX18" s="47" t="str">
        <f>IF(AND($B$18="M",GW18="WA"),"M",IF(AND($B$18="M",GW18="EXC"),"M",IF(AND($B$18="F",GW18="WA"),"F",IF(AND($B$18="F",GW18="EXC"),"F","-"))))</f>
        <v>-</v>
      </c>
      <c r="GY18" s="68"/>
      <c r="GZ18" s="66"/>
      <c r="HA18" s="48"/>
      <c r="HB18" s="70"/>
      <c r="HC18" s="59" t="str">
        <f>IF(AND($B$18="M",HB18="WA"),"M",IF(AND($B$18="M",HB18="EXC"),"M",IF(AND($B$18="F",HB18="WA"),"F",IF(AND($B$18="F",HB18="EXC"),"F","-"))))</f>
        <v>-</v>
      </c>
      <c r="HD18" s="64" t="str">
        <f t="shared" si="61"/>
        <v/>
      </c>
      <c r="HE18" s="69"/>
      <c r="HF18" s="59" t="str">
        <f>IF(AND($B$18="M",HE18="WA"),"M",IF(AND($B$18="M",HE18="EXC"),"M",IF(AND($B$18="F",HE18="WA"),"F",IF(AND($B$18="F",HE18="EXC"),"F","-"))))</f>
        <v>-</v>
      </c>
      <c r="HG18" s="64" t="str">
        <f t="shared" si="62"/>
        <v/>
      </c>
      <c r="HH18" s="69"/>
      <c r="HI18" s="59" t="str">
        <f>IF(AND($B$18="M",HH18="WA"),"M",IF(AND($B$18="M",HH18="EXC"),"M",IF(AND($B$18="F",HH18="WA"),"F",IF(AND($B$18="F",HH18="EXC"),"F","-"))))</f>
        <v>-</v>
      </c>
      <c r="HJ18" s="64" t="str">
        <f t="shared" si="63"/>
        <v/>
      </c>
      <c r="HK18" s="61" t="str">
        <f t="shared" si="64"/>
        <v/>
      </c>
      <c r="HL18" s="65"/>
      <c r="HM18" s="47" t="str">
        <f>IF(AND($B$18="M",HL18="WA"),"M",IF(AND($B$18="M",HL18="EXC"),"M",IF(AND($B$18="F",HL18="WA"),"F",IF(AND($B$18="F",HL18="EXC"),"F","-"))))</f>
        <v>-</v>
      </c>
      <c r="HN18" s="13"/>
      <c r="HO18" s="14"/>
      <c r="HP18" s="15"/>
      <c r="HQ18" s="54"/>
      <c r="HR18" s="55" t="str">
        <f>IF(AND($B$18="M",HQ18="WA"),"M",IF(AND($B$18="M",HQ18="EXC"),"M",IF(AND($B$18="F",HQ18="WA"),"F",IF(AND($B$18="F",HQ18="EXC"),"F","-"))))</f>
        <v>-</v>
      </c>
      <c r="HS18" s="56" t="str">
        <f t="shared" si="65"/>
        <v/>
      </c>
      <c r="HT18" s="54"/>
      <c r="HU18" s="55" t="str">
        <f>IF(AND($B$18="M",HT18="WA"),"M",IF(AND($B$18="M",HT18="EXC"),"M",IF(AND($B$18="F",HT18="WA"),"F",IF(AND($B$18="F",HT18="EXC"),"F","-"))))</f>
        <v>-</v>
      </c>
      <c r="HV18" s="56" t="str">
        <f t="shared" si="66"/>
        <v/>
      </c>
      <c r="HW18" s="54"/>
      <c r="HX18" s="55" t="str">
        <f>IF(AND($B$18="M",HW18="WA"),"M",IF(AND($B$18="M",HW18="EXC"),"M",IF(AND($B$18="F",HW18="WA"),"F",IF(AND($B$18="F",HW18="EXC"),"F","-"))))</f>
        <v>-</v>
      </c>
      <c r="HY18" s="56" t="str">
        <f t="shared" si="67"/>
        <v/>
      </c>
      <c r="HZ18" s="54" t="str">
        <f t="shared" si="68"/>
        <v/>
      </c>
      <c r="IA18" s="67"/>
      <c r="IB18" s="55" t="str">
        <f>IF(AND($B$18="M",IA18="WA"),"M",IF(AND($B$18="M",IA18="EXC"),"M",IF(AND($B$18="F",IA18="WA"),"F",IF(AND($B$18="F",IA18="EXC"),"F","-"))))</f>
        <v>-</v>
      </c>
      <c r="IC18" s="17"/>
    </row>
    <row r="19">
      <c r="A19" s="40"/>
      <c r="B19" s="41"/>
      <c r="C19" s="69"/>
      <c r="D19" s="59" t="str">
        <f>IF(AND($B$19="M",C19="WA"),"M",IF(AND($B$19="M",C19="EXC"),"M",IF(AND($B$19="F",C19="WA"),"F",IF(AND($B$19="F",C19="EXC"),"F","-"))))</f>
        <v>-</v>
      </c>
      <c r="E19" s="60" t="str">
        <f t="shared" si="1"/>
        <v/>
      </c>
      <c r="F19" s="69"/>
      <c r="G19" s="59" t="str">
        <f>IF(AND($B$19="M",F19="WA"),"M",IF(AND($B$19="M",F19="EXC"),"M",IF(AND($B$19="F",F19="WA"),"F",IF(AND($B$19="F",F19="EXC"),"F","-"))))</f>
        <v>-</v>
      </c>
      <c r="H19" s="60" t="str">
        <f t="shared" si="2"/>
        <v/>
      </c>
      <c r="I19" s="69"/>
      <c r="J19" s="59" t="str">
        <f>IF(AND($B$19="M",I19="WA"),"M",IF(AND($B$19="M",I19="EXC"),"M",IF(AND($B$19="F",I19="WA"),"F",IF(AND($B$19="F",I19="EXC"),"F","-"))))</f>
        <v>-</v>
      </c>
      <c r="K19" s="60" t="str">
        <f t="shared" si="3"/>
        <v/>
      </c>
      <c r="L19" s="69"/>
      <c r="M19" s="59" t="str">
        <f>IF(AND($B$19="M",L19="WA"),"M",IF(AND($B$19="M",L19="EXC"),"M",IF(AND($B$19="F",L19="WA"),"F",IF(AND($B$19="F",L19="EXC"),"F","-"))))</f>
        <v>-</v>
      </c>
      <c r="N19" s="60" t="str">
        <f t="shared" si="4"/>
        <v/>
      </c>
      <c r="O19" s="69"/>
      <c r="P19" s="59" t="str">
        <f>IF(AND($B$19="M",O19="WA"),"M",IF(AND($B$19="M",O19="EXC"),"M",IF(AND($B$19="F",O19="WA"),"F",IF(AND($B$19="F",O19="EXC"),"F","-"))))</f>
        <v>-</v>
      </c>
      <c r="Q19" s="60" t="str">
        <f t="shared" si="5"/>
        <v/>
      </c>
      <c r="R19" s="69"/>
      <c r="S19" s="59" t="str">
        <f>IF(AND($B$19="M",R19="WA"),"M",IF(AND($B$19="M",R19="EXC"),"M",IF(AND($B$19="F",R19="WA"),"F",IF(AND($B$19="F",R19="EXC"),"F","-"))))</f>
        <v>-</v>
      </c>
      <c r="T19" s="60" t="str">
        <f t="shared" si="6"/>
        <v/>
      </c>
      <c r="U19" s="61" t="str">
        <f t="shared" si="7"/>
        <v/>
      </c>
      <c r="V19" s="62"/>
      <c r="W19" s="47" t="str">
        <f>IF(AND($B$19="M",V19="WA"),"M",IF(AND($B$19="M",V19="EXC"),"M",IF(AND($B$19="F",V19="WA"),"F",IF(AND($B$19="F",V19="EXC"),"F","-"))))</f>
        <v>-</v>
      </c>
      <c r="X19" s="48"/>
      <c r="Y19" s="49"/>
      <c r="Z19" s="48"/>
      <c r="AA19" s="70"/>
      <c r="AB19" s="59" t="str">
        <f>IF(AND($B$19="M",AA19="WA"),"M",IF(AND($B$19="M",AA19="EXC"),"M",IF(AND($B$19="F",AA19="WA"),"F",IF(AND($B$19="F",AA19="EXC"),"F","-"))))</f>
        <v>-</v>
      </c>
      <c r="AC19" s="64" t="str">
        <f t="shared" si="8"/>
        <v/>
      </c>
      <c r="AD19" s="69"/>
      <c r="AE19" s="59" t="str">
        <f>IF(AND($B$19="M",AD19="WA"),"M",IF(AND($B$19="M",AD19="EXC"),"M",IF(AND($B$19="F",AD19="WA"),"F",IF(AND($B$19="F",AD19="EXC"),"F","-"))))</f>
        <v>-</v>
      </c>
      <c r="AF19" s="64" t="str">
        <f t="shared" si="9"/>
        <v/>
      </c>
      <c r="AG19" s="69"/>
      <c r="AH19" s="59" t="str">
        <f>IF(AND($B$19="M",AG19="WA"),"M",IF(AND($B$19="M",AG19="EXC"),"M",IF(AND($B$19="F",AG19="WA"),"F",IF(AND($B$19="F",AG19="EXC"),"F","-"))))</f>
        <v>-</v>
      </c>
      <c r="AI19" s="64" t="str">
        <f t="shared" si="10"/>
        <v/>
      </c>
      <c r="AJ19" s="69"/>
      <c r="AK19" s="59" t="str">
        <f>IF(AND($B$19="M",AJ19="WA"),"M",IF(AND($B$19="M",AJ19="EXC"),"M",IF(AND($B$19="F",AJ19="WA"),"F",IF(AND($B$19="F",AJ19="EXC"),"F","-"))))</f>
        <v>-</v>
      </c>
      <c r="AL19" s="64" t="str">
        <f t="shared" si="11"/>
        <v/>
      </c>
      <c r="AM19" s="69"/>
      <c r="AN19" s="59" t="str">
        <f>IF(AND($B$19="M",AM19="WA"),"M",IF(AND($B$19="M",AM19="EXC"),"M",IF(AND($B$19="F",AM19="WA"),"F",IF(AND($B$19="F",AM19="EXC"),"F","-"))))</f>
        <v>-</v>
      </c>
      <c r="AO19" s="61" t="str">
        <f t="shared" si="12"/>
        <v/>
      </c>
      <c r="AP19" s="69"/>
      <c r="AQ19" s="59" t="str">
        <f>IF(AND($B$19="M",AP19="WA"),"M",IF(AND($B$19="M",AP19="EXC"),"M",IF(AND($B$19="F",AP19="WA"),"F",IF(AND($B$19="F",AP19="EXC"),"F","-"))))</f>
        <v>-</v>
      </c>
      <c r="AR19" s="61" t="str">
        <f t="shared" si="13"/>
        <v/>
      </c>
      <c r="AS19" s="61" t="str">
        <f t="shared" si="14"/>
        <v/>
      </c>
      <c r="AT19" s="65"/>
      <c r="AU19" s="47" t="str">
        <f>IF(AND($B$19="M",AT19="WA"),"M",IF(AND($B$19="M",AT19="EXC"),"M",IF(AND($B$19="F",AT19="WA"),"F",IF(AND($B$19="F",AT19="EXC"),"F","-"))))</f>
        <v>-</v>
      </c>
      <c r="AV19" s="68"/>
      <c r="AW19" s="66"/>
      <c r="AX19" s="48"/>
      <c r="AY19" s="70"/>
      <c r="AZ19" s="59" t="str">
        <f>IF(AND($B$19="M",AY19="WA"),"M",IF(AND($B$19="M",AY19="EXC"),"M",IF(AND($B$19="F",AY19="WA"),"F",IF(AND($B$19="F",AY19="EXC"),"F","-"))))</f>
        <v>-</v>
      </c>
      <c r="BA19" s="64" t="str">
        <f t="shared" si="15"/>
        <v/>
      </c>
      <c r="BB19" s="69"/>
      <c r="BC19" s="59" t="str">
        <f>IF(AND($B$19="M",BB19="WA"),"M",IF(AND($B$19="M",BB19="EXC"),"M",IF(AND($B$19="F",BB19="WA"),"F",IF(AND($B$19="F",BB19="EXC"),"F","-"))))</f>
        <v>-</v>
      </c>
      <c r="BD19" s="64" t="str">
        <f t="shared" si="16"/>
        <v/>
      </c>
      <c r="BE19" s="69"/>
      <c r="BF19" s="59" t="str">
        <f>IF(AND($B$19="M",BE19="WA"),"M",IF(AND($B$19="M",BE19="EXC"),"M",IF(AND($B$19="F",BE19="WA"),"F",IF(AND($B$19="F",BE19="EXC"),"F","-"))))</f>
        <v>-</v>
      </c>
      <c r="BG19" s="64" t="str">
        <f t="shared" si="17"/>
        <v/>
      </c>
      <c r="BH19" s="69"/>
      <c r="BI19" s="59" t="str">
        <f>IF(AND($B$19="M",BH19="WA"),"M",IF(AND($B$19="M",BH19="EXC"),"M",IF(AND($B$19="F",BH19="WA"),"F",IF(AND($B$19="F",BH19="EXC"),"F","-"))))</f>
        <v>-</v>
      </c>
      <c r="BJ19" s="64" t="str">
        <f t="shared" si="18"/>
        <v/>
      </c>
      <c r="BK19" s="69"/>
      <c r="BL19" s="59" t="str">
        <f>IF(AND($B$19="M",BK19="WA"),"M",IF(AND($B$19="M",BK19="EXC"),"M",IF(AND($B$19="F",BK19="WA"),"F",IF(AND($B$19="F",BK19="EXC"),"F","-"))))</f>
        <v>-</v>
      </c>
      <c r="BM19" s="61" t="str">
        <f t="shared" si="19"/>
        <v/>
      </c>
      <c r="BN19" s="69"/>
      <c r="BO19" s="59" t="str">
        <f>IF(AND($B$19="M",BN19="WA"),"M",IF(AND($B$19="M",BN19="EXC"),"M",IF(AND($B$19="F",BN19="WA"),"F",IF(AND($B$19="F",BN19="EXC"),"F","-"))))</f>
        <v>-</v>
      </c>
      <c r="BP19" s="61" t="str">
        <f t="shared" si="20"/>
        <v/>
      </c>
      <c r="BQ19" s="61" t="str">
        <f t="shared" si="21"/>
        <v/>
      </c>
      <c r="BR19" s="65"/>
      <c r="BS19" s="47" t="str">
        <f>IF(AND($B$19="M",BR19="WA"),"M",IF(AND($B$19="M",BR19="EXC"),"M",IF(AND($B$19="F",BR19="WA"),"F",IF(AND($B$19="F",BR19="EXC"),"F","-"))))</f>
        <v>-</v>
      </c>
      <c r="BT19" s="68"/>
      <c r="BU19" s="66"/>
      <c r="BV19" s="48"/>
      <c r="BW19" s="70"/>
      <c r="BX19" s="59" t="str">
        <f>IF(AND($B$19="M",BW19="WA"),"M",IF(AND($B$19="M",BW19="EXC"),"M",IF(AND($B$19="F",BW19="WA"),"F",IF(AND($B$19="F",BW19="EXC"),"F","-"))))</f>
        <v>-</v>
      </c>
      <c r="BY19" s="64" t="str">
        <f t="shared" si="22"/>
        <v/>
      </c>
      <c r="BZ19" s="69"/>
      <c r="CA19" s="59" t="str">
        <f>IF(AND($B$19="M",BZ19="WA"),"M",IF(AND($B$19="M",BZ19="EXC"),"M",IF(AND($B$19="F",BZ19="WA"),"F",IF(AND($B$19="F",BZ19="EXC"),"F","-"))))</f>
        <v>-</v>
      </c>
      <c r="CB19" s="64" t="str">
        <f t="shared" si="23"/>
        <v/>
      </c>
      <c r="CC19" s="69"/>
      <c r="CD19" s="59" t="str">
        <f>IF(AND($B$19="M",CC19="WA"),"M",IF(AND($B$19="M",CC19="EXC"),"M",IF(AND($B$19="F",CC19="WA"),"F",IF(AND($B$19="F",CC19="EXC"),"F","-"))))</f>
        <v>-</v>
      </c>
      <c r="CE19" s="64" t="str">
        <f t="shared" si="24"/>
        <v/>
      </c>
      <c r="CF19" s="69"/>
      <c r="CG19" s="59" t="str">
        <f>IF(AND($B$19="M",CF19="WA"),"M",IF(AND($B$19="M",CF19="EXC"),"M",IF(AND($B$19="F",CF19="WA"),"F",IF(AND($B$19="F",CF19="EXC"),"F","-"))))</f>
        <v>-</v>
      </c>
      <c r="CH19" s="64" t="str">
        <f t="shared" si="25"/>
        <v/>
      </c>
      <c r="CI19" s="69"/>
      <c r="CJ19" s="59" t="str">
        <f>IF(AND($B$19="M",CI19="WA"),"M",IF(AND($B$19="M",CI19="EXC"),"M",IF(AND($B$19="F",CI19="WA"),"F",IF(AND($B$19="F",CI19="EXC"),"F","-"))))</f>
        <v>-</v>
      </c>
      <c r="CK19" s="61" t="str">
        <f t="shared" si="26"/>
        <v/>
      </c>
      <c r="CL19" s="69"/>
      <c r="CM19" s="59" t="str">
        <f>IF(AND($B$19="M",CL19="WA"),"M",IF(AND($B$19="M",CL19="EXC"),"M",IF(AND($B$19="F",CL19="WA"),"F",IF(AND($B$19="F",CL19="EXC"),"F","-"))))</f>
        <v>-</v>
      </c>
      <c r="CN19" s="61" t="str">
        <f t="shared" si="27"/>
        <v/>
      </c>
      <c r="CO19" s="61" t="str">
        <f t="shared" si="28"/>
        <v/>
      </c>
      <c r="CP19" s="65"/>
      <c r="CQ19" s="47" t="str">
        <f>IF(AND($B$19="M",CP19="WA"),"M",IF(AND($B$19="M",CP19="EXC"),"M",IF(AND($B$19="F",CP19="WA"),"F",IF(AND($B$19="F",CP19="EXC"),"F","-"))))</f>
        <v>-</v>
      </c>
      <c r="CR19" s="68"/>
      <c r="CS19" s="66"/>
      <c r="CT19" s="48"/>
      <c r="CU19" s="70"/>
      <c r="CV19" s="59" t="str">
        <f>IF(AND($B$19="M",CU19="WA"),"M",IF(AND($B$19="M",CU19="EXC"),"M",IF(AND($B$19="F",CU19="WA"),"F",IF(AND($B$19="F",CU19="EXC"),"F","-"))))</f>
        <v>-</v>
      </c>
      <c r="CW19" s="64" t="str">
        <f t="shared" si="29"/>
        <v/>
      </c>
      <c r="CX19" s="69"/>
      <c r="CY19" s="59" t="str">
        <f>IF(AND($B$19="M",CX19="WA"),"M",IF(AND($B$19="M",CX19="EXC"),"M",IF(AND($B$19="F",CX19="WA"),"F",IF(AND($B$19="F",CX19="EXC"),"F","-"))))</f>
        <v>-</v>
      </c>
      <c r="CZ19" s="64" t="str">
        <f t="shared" si="30"/>
        <v/>
      </c>
      <c r="DA19" s="69"/>
      <c r="DB19" s="59" t="str">
        <f>IF(AND($B$19="M",DA19="WA"),"M",IF(AND($B$19="M",DA19="EXC"),"M",IF(AND($B$19="F",DA19="WA"),"F",IF(AND($B$19="F",DA19="EXC"),"F","-"))))</f>
        <v>-</v>
      </c>
      <c r="DC19" s="64" t="str">
        <f t="shared" si="31"/>
        <v/>
      </c>
      <c r="DD19" s="69"/>
      <c r="DE19" s="59" t="str">
        <f>IF(AND($B$19="M",DD19="WA"),"M",IF(AND($B$19="M",DD19="EXC"),"M",IF(AND($B$19="F",DD19="WA"),"F",IF(AND($B$19="F",DD19="EXC"),"F","-"))))</f>
        <v>-</v>
      </c>
      <c r="DF19" s="64" t="str">
        <f t="shared" si="32"/>
        <v/>
      </c>
      <c r="DG19" s="69"/>
      <c r="DH19" s="59" t="str">
        <f>IF(AND($B$19="M",DG19="WA"),"M",IF(AND($B$19="M",DG19="EXC"),"M",IF(AND($B$19="F",DG19="WA"),"F",IF(AND($B$19="F",DG19="EXC"),"F","-"))))</f>
        <v>-</v>
      </c>
      <c r="DI19" s="61" t="str">
        <f t="shared" si="33"/>
        <v/>
      </c>
      <c r="DJ19" s="69"/>
      <c r="DK19" s="59" t="str">
        <f>IF(AND($B$19="M",DJ19="WA"),"M",IF(AND($B$19="M",DJ19="EXC"),"M",IF(AND($B$19="F",DJ19="WA"),"F",IF(AND($B$19="F",DJ19="EXC"),"F","-"))))</f>
        <v>-</v>
      </c>
      <c r="DL19" s="61" t="str">
        <f t="shared" si="34"/>
        <v/>
      </c>
      <c r="DM19" s="61" t="str">
        <f t="shared" si="35"/>
        <v/>
      </c>
      <c r="DN19" s="65"/>
      <c r="DO19" s="47" t="str">
        <f>IF(AND($B$19="M",DN19="WA"),"M",IF(AND($B$19="M",DN19="EXC"),"M",IF(AND($B$19="F",DN19="WA"),"F",IF(AND($B$19="F",DN19="EXC"),"F","-"))))</f>
        <v>-</v>
      </c>
      <c r="DP19" s="68"/>
      <c r="DQ19" s="66"/>
      <c r="DR19" s="48"/>
      <c r="DS19" s="70"/>
      <c r="DT19" s="59" t="str">
        <f>IF(AND($B$19="M",DS19="WA"),"M",IF(AND($B$19="M",DS19="EXC"),"M",IF(AND($B$19="F",DS19="WA"),"F",IF(AND($B$19="F",DS19="EXC"),"F","-"))))</f>
        <v>-</v>
      </c>
      <c r="DU19" s="64" t="str">
        <f t="shared" si="36"/>
        <v/>
      </c>
      <c r="DV19" s="69"/>
      <c r="DW19" s="59" t="str">
        <f>IF(AND($B$19="M",DV19="WA"),"M",IF(AND($B$19="M",DV19="EXC"),"M",IF(AND($B$19="F",DV19="WA"),"F",IF(AND($B$19="F",DV19="EXC"),"F","-"))))</f>
        <v>-</v>
      </c>
      <c r="DX19" s="64" t="str">
        <f t="shared" si="37"/>
        <v/>
      </c>
      <c r="DY19" s="69"/>
      <c r="DZ19" s="59" t="str">
        <f>IF(AND($B$19="M",DY19="WA"),"M",IF(AND($B$19="M",DY19="EXC"),"M",IF(AND($B$19="F",DY19="WA"),"F",IF(AND($B$19="F",DY19="EXC"),"F","-"))))</f>
        <v>-</v>
      </c>
      <c r="EA19" s="64" t="str">
        <f t="shared" si="38"/>
        <v/>
      </c>
      <c r="EB19" s="69"/>
      <c r="EC19" s="59" t="str">
        <f>IF(AND($B$19="M",EB19="WA"),"M",IF(AND($B$19="M",EB19="EXC"),"M",IF(AND($B$19="F",EB19="WA"),"F",IF(AND($B$19="F",EB19="EXC"),"F","-"))))</f>
        <v>-</v>
      </c>
      <c r="ED19" s="64" t="str">
        <f t="shared" si="39"/>
        <v/>
      </c>
      <c r="EE19" s="69"/>
      <c r="EF19" s="59" t="str">
        <f>IF(AND($B$19="M",EE19="WA"),"M",IF(AND($B$19="M",EE19="EXC"),"M",IF(AND($B$19="F",EE19="WA"),"F",IF(AND($B$19="F",EE19="EXC"),"F","-"))))</f>
        <v>-</v>
      </c>
      <c r="EG19" s="61" t="str">
        <f t="shared" si="40"/>
        <v/>
      </c>
      <c r="EH19" s="69"/>
      <c r="EI19" s="59" t="str">
        <f>IF(AND($B$19="M",EH19="WA"),"M",IF(AND($B$19="M",EH19="EXC"),"M",IF(AND($B$19="F",EH19="WA"),"F",IF(AND($B$19="F",EH19="EXC"),"F","-"))))</f>
        <v>-</v>
      </c>
      <c r="EJ19" s="61" t="str">
        <f t="shared" si="41"/>
        <v/>
      </c>
      <c r="EK19" s="61" t="str">
        <f t="shared" si="42"/>
        <v/>
      </c>
      <c r="EL19" s="65"/>
      <c r="EM19" s="47" t="str">
        <f>IF(AND($B$19="M",EL19="WA"),"M",IF(AND($B$19="M",EL19="EXC"),"M",IF(AND($B$19="F",EL19="WA"),"F",IF(AND($B$19="F",EL19="EXC"),"F","-"))))</f>
        <v>-</v>
      </c>
      <c r="EN19" s="68"/>
      <c r="EO19" s="66"/>
      <c r="EP19" s="48"/>
      <c r="EQ19" s="70"/>
      <c r="ER19" s="59" t="str">
        <f>IF(AND($B$19="M",EQ19="WA"),"M",IF(AND($B$19="M",EQ19="EXC"),"M",IF(AND($B$19="F",EQ19="WA"),"F",IF(AND($B$19="F",EQ19="EXC"),"F","-"))))</f>
        <v>-</v>
      </c>
      <c r="ES19" s="64" t="str">
        <f t="shared" si="43"/>
        <v/>
      </c>
      <c r="ET19" s="69"/>
      <c r="EU19" s="59" t="str">
        <f>IF(AND($B$19="M",ET19="WA"),"M",IF(AND($B$19="M",ET19="EXC"),"M",IF(AND($B$19="F",ET19="WA"),"F",IF(AND($B$19="F",ET19="EXC"),"F","-"))))</f>
        <v>-</v>
      </c>
      <c r="EV19" s="64" t="str">
        <f t="shared" si="44"/>
        <v/>
      </c>
      <c r="EW19" s="69"/>
      <c r="EX19" s="59" t="str">
        <f>IF(AND($B$19="M",EW19="WA"),"M",IF(AND($B$19="M",EW19="EXC"),"M",IF(AND($B$19="F",EW19="WA"),"F",IF(AND($B$19="F",EW19="EXC"),"F","-"))))</f>
        <v>-</v>
      </c>
      <c r="EY19" s="64" t="str">
        <f t="shared" si="45"/>
        <v/>
      </c>
      <c r="EZ19" s="69"/>
      <c r="FA19" s="59" t="str">
        <f>IF(AND($B$19="M",EZ19="WA"),"M",IF(AND($B$19="M",EZ19="EXC"),"M",IF(AND($B$19="F",EZ19="WA"),"F",IF(AND($B$19="F",EZ19="EXC"),"F","-"))))</f>
        <v>-</v>
      </c>
      <c r="FB19" s="64" t="str">
        <f t="shared" si="46"/>
        <v/>
      </c>
      <c r="FC19" s="69"/>
      <c r="FD19" s="59" t="str">
        <f>IF(AND($B$19="M",FC19="WA"),"M",IF(AND($B$19="M",FC19="EXC"),"M",IF(AND($B$19="F",FC19="WA"),"F",IF(AND($B$19="F",FC19="EXC"),"F","-"))))</f>
        <v>-</v>
      </c>
      <c r="FE19" s="61" t="str">
        <f t="shared" si="47"/>
        <v/>
      </c>
      <c r="FF19" s="69"/>
      <c r="FG19" s="59" t="str">
        <f>IF(AND($B$19="M",FF19="WA"),"M",IF(AND($B$19="M",FF19="EXC"),"M",IF(AND($B$19="F",FF19="WA"),"F",IF(AND($B$19="F",FF19="EXC"),"F","-"))))</f>
        <v>-</v>
      </c>
      <c r="FH19" s="61" t="str">
        <f t="shared" si="48"/>
        <v/>
      </c>
      <c r="FI19" s="61" t="str">
        <f t="shared" si="49"/>
        <v/>
      </c>
      <c r="FJ19" s="65"/>
      <c r="FK19" s="47" t="str">
        <f>IF(AND($B$19="M",FJ19="WA"),"M",IF(AND($B$19="M",FJ19="EXC"),"M",IF(AND($B$19="F",FJ19="WA"),"F",IF(AND($B$19="F",FJ19="EXC"),"F","-"))))</f>
        <v>-</v>
      </c>
      <c r="FL19" s="68"/>
      <c r="FM19" s="66"/>
      <c r="FN19" s="48"/>
      <c r="FO19" s="70"/>
      <c r="FP19" s="59" t="str">
        <f>IF(AND($B$19="M",FO19="WA"),"M",IF(AND($B$19="M",FO19="EXC"),"M",IF(AND($B$19="F",FO19="WA"),"F",IF(AND($B$19="F",FO19="EXC"),"F","-"))))</f>
        <v>-</v>
      </c>
      <c r="FQ19" s="64" t="str">
        <f t="shared" si="50"/>
        <v/>
      </c>
      <c r="FR19" s="69"/>
      <c r="FS19" s="59" t="str">
        <f>IF(AND($B$19="M",FR19="WA"),"M",IF(AND($B$19="M",FR19="EXC"),"M",IF(AND($B$19="F",FR19="WA"),"F",IF(AND($B$19="F",FR19="EXC"),"F","-"))))</f>
        <v>-</v>
      </c>
      <c r="FT19" s="64" t="str">
        <f t="shared" si="51"/>
        <v/>
      </c>
      <c r="FU19" s="69"/>
      <c r="FV19" s="59" t="str">
        <f>IF(AND($B$19="M",FU19="WA"),"M",IF(AND($B$19="M",FU19="EXC"),"M",IF(AND($B$19="F",FU19="WA"),"F",IF(AND($B$19="F",FU19="EXC"),"F","-"))))</f>
        <v>-</v>
      </c>
      <c r="FW19" s="64" t="str">
        <f t="shared" si="52"/>
        <v/>
      </c>
      <c r="FX19" s="69"/>
      <c r="FY19" s="59" t="str">
        <f>IF(AND($B$19="M",FX19="WA"),"M",IF(AND($B$19="M",FX19="EXC"),"M",IF(AND($B$19="F",FX19="WA"),"F",IF(AND($B$19="F",FX19="EXC"),"F","-"))))</f>
        <v>-</v>
      </c>
      <c r="FZ19" s="64" t="str">
        <f t="shared" si="53"/>
        <v/>
      </c>
      <c r="GA19" s="69"/>
      <c r="GB19" s="59" t="str">
        <f>IF(AND($B$19="M",GA19="WA"),"M",IF(AND($B$19="M",GA19="EXC"),"M",IF(AND($B$19="F",GA19="WA"),"F",IF(AND($B$19="F",GA19="EXC"),"F","-"))))</f>
        <v>-</v>
      </c>
      <c r="GC19" s="61" t="str">
        <f t="shared" si="54"/>
        <v/>
      </c>
      <c r="GD19" s="69"/>
      <c r="GE19" s="59" t="str">
        <f>IF(AND($B$19="M",GD19="WA"),"M",IF(AND($B$19="M",GD19="EXC"),"M",IF(AND($B$19="F",GD19="WA"),"F",IF(AND($B$19="F",GD19="EXC"),"F","-"))))</f>
        <v>-</v>
      </c>
      <c r="GF19" s="61" t="str">
        <f t="shared" si="55"/>
        <v/>
      </c>
      <c r="GG19" s="61" t="str">
        <f t="shared" si="56"/>
        <v/>
      </c>
      <c r="GH19" s="65"/>
      <c r="GI19" s="47" t="str">
        <f>IF(AND($B$19="M",GH19="WA"),"M",IF(AND($B$19="M",GH19="EXC"),"M",IF(AND($B$19="F",GH19="WA"),"F",IF(AND($B$19="F",GH19="EXC"),"F","-"))))</f>
        <v>-</v>
      </c>
      <c r="GJ19" s="68"/>
      <c r="GK19" s="66"/>
      <c r="GL19" s="48"/>
      <c r="GM19" s="70"/>
      <c r="GN19" s="59" t="str">
        <f>IF(AND($B$19="M",GM19="WA"),"M",IF(AND($B$19="M",GM19="EXC"),"M",IF(AND($B$19="F",GM19="WA"),"F",IF(AND($B$19="F",GM19="EXC"),"F","-"))))</f>
        <v>-</v>
      </c>
      <c r="GO19" s="64" t="str">
        <f t="shared" si="57"/>
        <v/>
      </c>
      <c r="GP19" s="69"/>
      <c r="GQ19" s="59" t="str">
        <f>IF(AND($B$19="M",GP19="WA"),"M",IF(AND($B$19="M",GP19="EXC"),"M",IF(AND($B$19="F",GP19="WA"),"F",IF(AND($B$19="F",GP19="EXC"),"F","-"))))</f>
        <v>-</v>
      </c>
      <c r="GR19" s="64" t="str">
        <f t="shared" si="58"/>
        <v/>
      </c>
      <c r="GS19" s="69"/>
      <c r="GT19" s="59" t="str">
        <f>IF(AND($B$19="M",GS19="WA"),"M",IF(AND($B$19="M",GS19="EXC"),"M",IF(AND($B$19="F",GS19="WA"),"F",IF(AND($B$19="F",GS19="EXC"),"F","-"))))</f>
        <v>-</v>
      </c>
      <c r="GU19" s="64" t="str">
        <f t="shared" si="59"/>
        <v/>
      </c>
      <c r="GV19" s="61" t="str">
        <f t="shared" si="60"/>
        <v/>
      </c>
      <c r="GW19" s="65"/>
      <c r="GX19" s="47" t="str">
        <f>IF(AND($B$19="M",GW19="WA"),"M",IF(AND($B$19="M",GW19="EXC"),"M",IF(AND($B$19="F",GW19="WA"),"F",IF(AND($B$19="F",GW19="EXC"),"F","-"))))</f>
        <v>-</v>
      </c>
      <c r="GY19" s="68"/>
      <c r="GZ19" s="66"/>
      <c r="HA19" s="48"/>
      <c r="HB19" s="70"/>
      <c r="HC19" s="59" t="str">
        <f>IF(AND($B$19="M",HB19="WA"),"M",IF(AND($B$19="M",HB19="EXC"),"M",IF(AND($B$19="F",HB19="WA"),"F",IF(AND($B$19="F",HB19="EXC"),"F","-"))))</f>
        <v>-</v>
      </c>
      <c r="HD19" s="64" t="str">
        <f t="shared" si="61"/>
        <v/>
      </c>
      <c r="HE19" s="69"/>
      <c r="HF19" s="59" t="str">
        <f>IF(AND($B$19="M",HE19="WA"),"M",IF(AND($B$19="M",HE19="EXC"),"M",IF(AND($B$19="F",HE19="WA"),"F",IF(AND($B$19="F",HE19="EXC"),"F","-"))))</f>
        <v>-</v>
      </c>
      <c r="HG19" s="64" t="str">
        <f t="shared" si="62"/>
        <v/>
      </c>
      <c r="HH19" s="69"/>
      <c r="HI19" s="59" t="str">
        <f>IF(AND($B$19="M",HH19="WA"),"M",IF(AND($B$19="M",HH19="EXC"),"M",IF(AND($B$19="F",HH19="WA"),"F",IF(AND($B$19="F",HH19="EXC"),"F","-"))))</f>
        <v>-</v>
      </c>
      <c r="HJ19" s="64" t="str">
        <f t="shared" si="63"/>
        <v/>
      </c>
      <c r="HK19" s="61" t="str">
        <f t="shared" si="64"/>
        <v/>
      </c>
      <c r="HL19" s="65"/>
      <c r="HM19" s="47" t="str">
        <f>IF(AND($B$19="M",HL19="WA"),"M",IF(AND($B$19="M",HL19="EXC"),"M",IF(AND($B$19="F",HL19="WA"),"F",IF(AND($B$19="F",HL19="EXC"),"F","-"))))</f>
        <v>-</v>
      </c>
      <c r="HN19" s="13"/>
      <c r="HO19" s="14"/>
      <c r="HP19" s="15"/>
      <c r="HQ19" s="54"/>
      <c r="HR19" s="55" t="str">
        <f>IF(AND($B$19="M",HQ19="WA"),"M",IF(AND($B$19="M",HQ19="EXC"),"M",IF(AND($B$19="F",HQ19="WA"),"F",IF(AND($B$19="F",HQ19="EXC"),"F","-"))))</f>
        <v>-</v>
      </c>
      <c r="HS19" s="56" t="str">
        <f t="shared" si="65"/>
        <v/>
      </c>
      <c r="HT19" s="54"/>
      <c r="HU19" s="55" t="str">
        <f>IF(AND($B$19="M",HT19="WA"),"M",IF(AND($B$19="M",HT19="EXC"),"M",IF(AND($B$19="F",HT19="WA"),"F",IF(AND($B$19="F",HT19="EXC"),"F","-"))))</f>
        <v>-</v>
      </c>
      <c r="HV19" s="56" t="str">
        <f t="shared" si="66"/>
        <v/>
      </c>
      <c r="HW19" s="54"/>
      <c r="HX19" s="55" t="str">
        <f>IF(AND($B$19="M",HW19="WA"),"M",IF(AND($B$19="M",HW19="EXC"),"M",IF(AND($B$19="F",HW19="WA"),"F",IF(AND($B$19="F",HW19="EXC"),"F","-"))))</f>
        <v>-</v>
      </c>
      <c r="HY19" s="56" t="str">
        <f t="shared" si="67"/>
        <v/>
      </c>
      <c r="HZ19" s="54" t="str">
        <f t="shared" si="68"/>
        <v/>
      </c>
      <c r="IA19" s="67"/>
      <c r="IB19" s="55" t="str">
        <f>IF(AND($B$19="M",IA19="WA"),"M",IF(AND($B$19="M",IA19="EXC"),"M",IF(AND($B$19="F",IA19="WA"),"F",IF(AND($B$19="F",IA19="EXC"),"F","-"))))</f>
        <v>-</v>
      </c>
      <c r="IC19" s="17"/>
    </row>
    <row r="20">
      <c r="A20" s="40"/>
      <c r="B20" s="41"/>
      <c r="C20" s="69"/>
      <c r="D20" s="59" t="str">
        <f>IF(AND($B$20="M",C20="WA"),"M",IF(AND($B$20="M",C20="EXC"),"M",IF(AND($B$20="F",C20="WA"),"F",IF(AND($B$20="F",C20="EXC"),"F","-"))))</f>
        <v>-</v>
      </c>
      <c r="E20" s="60" t="str">
        <f t="shared" si="1"/>
        <v/>
      </c>
      <c r="F20" s="69"/>
      <c r="G20" s="59" t="str">
        <f>IF(AND($B$20="M",F20="WA"),"M",IF(AND($B$20="M",F20="EXC"),"M",IF(AND($B$20="F",F20="WA"),"F",IF(AND($B$20="F",F20="EXC"),"F","-"))))</f>
        <v>-</v>
      </c>
      <c r="H20" s="60" t="str">
        <f t="shared" si="2"/>
        <v/>
      </c>
      <c r="I20" s="69"/>
      <c r="J20" s="59" t="str">
        <f>IF(AND($B$20="M",I20="WA"),"M",IF(AND($B$20="M",I20="EXC"),"M",IF(AND($B$20="F",I20="WA"),"F",IF(AND($B$20="F",I20="EXC"),"F","-"))))</f>
        <v>-</v>
      </c>
      <c r="K20" s="60" t="str">
        <f t="shared" si="3"/>
        <v/>
      </c>
      <c r="L20" s="69"/>
      <c r="M20" s="59" t="str">
        <f>IF(AND($B$20="M",L20="WA"),"M",IF(AND($B$20="M",L20="EXC"),"M",IF(AND($B$20="F",L20="WA"),"F",IF(AND($B$20="F",L20="EXC"),"F","-"))))</f>
        <v>-</v>
      </c>
      <c r="N20" s="60" t="str">
        <f t="shared" si="4"/>
        <v/>
      </c>
      <c r="O20" s="69"/>
      <c r="P20" s="59" t="str">
        <f>IF(AND($B$20="M",O20="WA"),"M",IF(AND($B$20="M",O20="EXC"),"M",IF(AND($B$20="F",O20="WA"),"F",IF(AND($B$20="F",O20="EXC"),"F","-"))))</f>
        <v>-</v>
      </c>
      <c r="Q20" s="60" t="str">
        <f t="shared" si="5"/>
        <v/>
      </c>
      <c r="R20" s="69"/>
      <c r="S20" s="59" t="str">
        <f>IF(AND($B$20="M",R20="WA"),"M",IF(AND($B$20="M",R20="EXC"),"M",IF(AND($B$20="F",R20="WA"),"F",IF(AND($B$20="F",R20="EXC"),"F","-"))))</f>
        <v>-</v>
      </c>
      <c r="T20" s="60" t="str">
        <f t="shared" si="6"/>
        <v/>
      </c>
      <c r="U20" s="61" t="str">
        <f t="shared" si="7"/>
        <v/>
      </c>
      <c r="V20" s="62"/>
      <c r="W20" s="47" t="str">
        <f>IF(AND($B$20="M",V20="WA"),"M",IF(AND($B$20="M",V20="EXC"),"M",IF(AND($B$20="F",V20="WA"),"F",IF(AND($B$20="F",V20="EXC"),"F","-"))))</f>
        <v>-</v>
      </c>
      <c r="X20" s="48"/>
      <c r="Y20" s="49"/>
      <c r="Z20" s="48"/>
      <c r="AA20" s="70"/>
      <c r="AB20" s="59" t="str">
        <f>IF(AND($B$20="M",AA20="WA"),"M",IF(AND($B$20="M",AA20="EXC"),"M",IF(AND($B$20="F",AA20="WA"),"F",IF(AND($B$20="F",AA20="EXC"),"F","-"))))</f>
        <v>-</v>
      </c>
      <c r="AC20" s="64" t="str">
        <f t="shared" si="8"/>
        <v/>
      </c>
      <c r="AD20" s="69"/>
      <c r="AE20" s="59" t="str">
        <f>IF(AND($B$20="M",AD20="WA"),"M",IF(AND($B$20="M",AD20="EXC"),"M",IF(AND($B$20="F",AD20="WA"),"F",IF(AND($B$20="F",AD20="EXC"),"F","-"))))</f>
        <v>-</v>
      </c>
      <c r="AF20" s="64" t="str">
        <f t="shared" si="9"/>
        <v/>
      </c>
      <c r="AG20" s="69"/>
      <c r="AH20" s="59" t="str">
        <f>IF(AND($B$20="M",AG20="WA"),"M",IF(AND($B$20="M",AG20="EXC"),"M",IF(AND($B$20="F",AG20="WA"),"F",IF(AND($B$20="F",AG20="EXC"),"F","-"))))</f>
        <v>-</v>
      </c>
      <c r="AI20" s="64" t="str">
        <f t="shared" si="10"/>
        <v/>
      </c>
      <c r="AJ20" s="69"/>
      <c r="AK20" s="59" t="str">
        <f>IF(AND($B$20="M",AJ20="WA"),"M",IF(AND($B$20="M",AJ20="EXC"),"M",IF(AND($B$20="F",AJ20="WA"),"F",IF(AND($B$20="F",AJ20="EXC"),"F","-"))))</f>
        <v>-</v>
      </c>
      <c r="AL20" s="64" t="str">
        <f t="shared" si="11"/>
        <v/>
      </c>
      <c r="AM20" s="69"/>
      <c r="AN20" s="59" t="str">
        <f>IF(AND($B$20="M",AM20="WA"),"M",IF(AND($B$20="M",AM20="EXC"),"M",IF(AND($B$20="F",AM20="WA"),"F",IF(AND($B$20="F",AM20="EXC"),"F","-"))))</f>
        <v>-</v>
      </c>
      <c r="AO20" s="61" t="str">
        <f t="shared" si="12"/>
        <v/>
      </c>
      <c r="AP20" s="69"/>
      <c r="AQ20" s="59" t="str">
        <f>IF(AND($B$20="M",AP20="WA"),"M",IF(AND($B$20="M",AP20="EXC"),"M",IF(AND($B$20="F",AP20="WA"),"F",IF(AND($B$20="F",AP20="EXC"),"F","-"))))</f>
        <v>-</v>
      </c>
      <c r="AR20" s="61" t="str">
        <f t="shared" si="13"/>
        <v/>
      </c>
      <c r="AS20" s="61" t="str">
        <f t="shared" si="14"/>
        <v/>
      </c>
      <c r="AT20" s="65"/>
      <c r="AU20" s="47" t="str">
        <f>IF(AND($B$20="M",AT20="WA"),"M",IF(AND($B$20="M",AT20="EXC"),"M",IF(AND($B$20="F",AT20="WA"),"F",IF(AND($B$20="F",AT20="EXC"),"F","-"))))</f>
        <v>-</v>
      </c>
      <c r="AV20" s="68"/>
      <c r="AW20" s="66"/>
      <c r="AX20" s="48"/>
      <c r="AY20" s="70"/>
      <c r="AZ20" s="59" t="str">
        <f>IF(AND($B$20="M",AY20="WA"),"M",IF(AND($B$20="M",AY20="EXC"),"M",IF(AND($B$20="F",AY20="WA"),"F",IF(AND($B$20="F",AY20="EXC"),"F","-"))))</f>
        <v>-</v>
      </c>
      <c r="BA20" s="64" t="str">
        <f t="shared" si="15"/>
        <v/>
      </c>
      <c r="BB20" s="69"/>
      <c r="BC20" s="59" t="str">
        <f>IF(AND($B$20="M",BB20="WA"),"M",IF(AND($B$20="M",BB20="EXC"),"M",IF(AND($B$20="F",BB20="WA"),"F",IF(AND($B$20="F",BB20="EXC"),"F","-"))))</f>
        <v>-</v>
      </c>
      <c r="BD20" s="64" t="str">
        <f t="shared" si="16"/>
        <v/>
      </c>
      <c r="BE20" s="69"/>
      <c r="BF20" s="59" t="str">
        <f>IF(AND($B$20="M",BE20="WA"),"M",IF(AND($B$20="M",BE20="EXC"),"M",IF(AND($B$20="F",BE20="WA"),"F",IF(AND($B$20="F",BE20="EXC"),"F","-"))))</f>
        <v>-</v>
      </c>
      <c r="BG20" s="64" t="str">
        <f t="shared" si="17"/>
        <v/>
      </c>
      <c r="BH20" s="69"/>
      <c r="BI20" s="59" t="str">
        <f>IF(AND($B$20="M",BH20="WA"),"M",IF(AND($B$20="M",BH20="EXC"),"M",IF(AND($B$20="F",BH20="WA"),"F",IF(AND($B$20="F",BH20="EXC"),"F","-"))))</f>
        <v>-</v>
      </c>
      <c r="BJ20" s="64" t="str">
        <f t="shared" si="18"/>
        <v/>
      </c>
      <c r="BK20" s="69"/>
      <c r="BL20" s="59" t="str">
        <f>IF(AND($B$20="M",BK20="WA"),"M",IF(AND($B$20="M",BK20="EXC"),"M",IF(AND($B$20="F",BK20="WA"),"F",IF(AND($B$20="F",BK20="EXC"),"F","-"))))</f>
        <v>-</v>
      </c>
      <c r="BM20" s="61" t="str">
        <f t="shared" si="19"/>
        <v/>
      </c>
      <c r="BN20" s="69"/>
      <c r="BO20" s="59" t="str">
        <f>IF(AND($B$20="M",BN20="WA"),"M",IF(AND($B$20="M",BN20="EXC"),"M",IF(AND($B$20="F",BN20="WA"),"F",IF(AND($B$20="F",BN20="EXC"),"F","-"))))</f>
        <v>-</v>
      </c>
      <c r="BP20" s="61" t="str">
        <f t="shared" si="20"/>
        <v/>
      </c>
      <c r="BQ20" s="61" t="str">
        <f t="shared" si="21"/>
        <v/>
      </c>
      <c r="BR20" s="65"/>
      <c r="BS20" s="47" t="str">
        <f>IF(AND($B$20="M",BR20="WA"),"M",IF(AND($B$20="M",BR20="EXC"),"M",IF(AND($B$20="F",BR20="WA"),"F",IF(AND($B$20="F",BR20="EXC"),"F","-"))))</f>
        <v>-</v>
      </c>
      <c r="BT20" s="68"/>
      <c r="BU20" s="66"/>
      <c r="BV20" s="48"/>
      <c r="BW20" s="70"/>
      <c r="BX20" s="59" t="str">
        <f>IF(AND($B$20="M",BW20="WA"),"M",IF(AND($B$20="M",BW20="EXC"),"M",IF(AND($B$20="F",BW20="WA"),"F",IF(AND($B$20="F",BW20="EXC"),"F","-"))))</f>
        <v>-</v>
      </c>
      <c r="BY20" s="64" t="str">
        <f t="shared" si="22"/>
        <v/>
      </c>
      <c r="BZ20" s="69"/>
      <c r="CA20" s="59" t="str">
        <f>IF(AND($B$20="M",BZ20="WA"),"M",IF(AND($B$20="M",BZ20="EXC"),"M",IF(AND($B$20="F",BZ20="WA"),"F",IF(AND($B$20="F",BZ20="EXC"),"F","-"))))</f>
        <v>-</v>
      </c>
      <c r="CB20" s="64" t="str">
        <f t="shared" si="23"/>
        <v/>
      </c>
      <c r="CC20" s="69"/>
      <c r="CD20" s="59" t="str">
        <f>IF(AND($B$20="M",CC20="WA"),"M",IF(AND($B$20="M",CC20="EXC"),"M",IF(AND($B$20="F",CC20="WA"),"F",IF(AND($B$20="F",CC20="EXC"),"F","-"))))</f>
        <v>-</v>
      </c>
      <c r="CE20" s="64" t="str">
        <f t="shared" si="24"/>
        <v/>
      </c>
      <c r="CF20" s="69"/>
      <c r="CG20" s="59" t="str">
        <f>IF(AND($B$20="M",CF20="WA"),"M",IF(AND($B$20="M",CF20="EXC"),"M",IF(AND($B$20="F",CF20="WA"),"F",IF(AND($B$20="F",CF20="EXC"),"F","-"))))</f>
        <v>-</v>
      </c>
      <c r="CH20" s="64" t="str">
        <f t="shared" si="25"/>
        <v/>
      </c>
      <c r="CI20" s="69"/>
      <c r="CJ20" s="59" t="str">
        <f>IF(AND($B$20="M",CI20="WA"),"M",IF(AND($B$20="M",CI20="EXC"),"M",IF(AND($B$20="F",CI20="WA"),"F",IF(AND($B$20="F",CI20="EXC"),"F","-"))))</f>
        <v>-</v>
      </c>
      <c r="CK20" s="61" t="str">
        <f t="shared" si="26"/>
        <v/>
      </c>
      <c r="CL20" s="69"/>
      <c r="CM20" s="59" t="str">
        <f>IF(AND($B$20="M",CL20="WA"),"M",IF(AND($B$20="M",CL20="EXC"),"M",IF(AND($B$20="F",CL20="WA"),"F",IF(AND($B$20="F",CL20="EXC"),"F","-"))))</f>
        <v>-</v>
      </c>
      <c r="CN20" s="61" t="str">
        <f t="shared" si="27"/>
        <v/>
      </c>
      <c r="CO20" s="61" t="str">
        <f t="shared" si="28"/>
        <v/>
      </c>
      <c r="CP20" s="65"/>
      <c r="CQ20" s="47" t="str">
        <f>IF(AND($B$20="M",CP20="WA"),"M",IF(AND($B$20="M",CP20="EXC"),"M",IF(AND($B$20="F",CP20="WA"),"F",IF(AND($B$20="F",CP20="EXC"),"F","-"))))</f>
        <v>-</v>
      </c>
      <c r="CR20" s="68"/>
      <c r="CS20" s="66"/>
      <c r="CT20" s="48"/>
      <c r="CU20" s="70"/>
      <c r="CV20" s="59" t="str">
        <f>IF(AND($B$20="M",CU20="WA"),"M",IF(AND($B$20="M",CU20="EXC"),"M",IF(AND($B$20="F",CU20="WA"),"F",IF(AND($B$20="F",CU20="EXC"),"F","-"))))</f>
        <v>-</v>
      </c>
      <c r="CW20" s="64" t="str">
        <f t="shared" si="29"/>
        <v/>
      </c>
      <c r="CX20" s="69"/>
      <c r="CY20" s="59" t="str">
        <f>IF(AND($B$20="M",CX20="WA"),"M",IF(AND($B$20="M",CX20="EXC"),"M",IF(AND($B$20="F",CX20="WA"),"F",IF(AND($B$20="F",CX20="EXC"),"F","-"))))</f>
        <v>-</v>
      </c>
      <c r="CZ20" s="64" t="str">
        <f t="shared" si="30"/>
        <v/>
      </c>
      <c r="DA20" s="69"/>
      <c r="DB20" s="59" t="str">
        <f>IF(AND($B$20="M",DA20="WA"),"M",IF(AND($B$20="M",DA20="EXC"),"M",IF(AND($B$20="F",DA20="WA"),"F",IF(AND($B$20="F",DA20="EXC"),"F","-"))))</f>
        <v>-</v>
      </c>
      <c r="DC20" s="64" t="str">
        <f t="shared" si="31"/>
        <v/>
      </c>
      <c r="DD20" s="69"/>
      <c r="DE20" s="59" t="str">
        <f>IF(AND($B$20="M",DD20="WA"),"M",IF(AND($B$20="M",DD20="EXC"),"M",IF(AND($B$20="F",DD20="WA"),"F",IF(AND($B$20="F",DD20="EXC"),"F","-"))))</f>
        <v>-</v>
      </c>
      <c r="DF20" s="64" t="str">
        <f t="shared" si="32"/>
        <v/>
      </c>
      <c r="DG20" s="69"/>
      <c r="DH20" s="59" t="str">
        <f>IF(AND($B$20="M",DG20="WA"),"M",IF(AND($B$20="M",DG20="EXC"),"M",IF(AND($B$20="F",DG20="WA"),"F",IF(AND($B$20="F",DG20="EXC"),"F","-"))))</f>
        <v>-</v>
      </c>
      <c r="DI20" s="61" t="str">
        <f t="shared" si="33"/>
        <v/>
      </c>
      <c r="DJ20" s="69"/>
      <c r="DK20" s="59" t="str">
        <f>IF(AND($B$20="M",DJ20="WA"),"M",IF(AND($B$20="M",DJ20="EXC"),"M",IF(AND($B$20="F",DJ20="WA"),"F",IF(AND($B$20="F",DJ20="EXC"),"F","-"))))</f>
        <v>-</v>
      </c>
      <c r="DL20" s="61" t="str">
        <f t="shared" si="34"/>
        <v/>
      </c>
      <c r="DM20" s="61" t="str">
        <f t="shared" si="35"/>
        <v/>
      </c>
      <c r="DN20" s="65"/>
      <c r="DO20" s="47" t="str">
        <f>IF(AND($B$20="M",DN20="WA"),"M",IF(AND($B$20="M",DN20="EXC"),"M",IF(AND($B$20="F",DN20="WA"),"F",IF(AND($B$20="F",DN20="EXC"),"F","-"))))</f>
        <v>-</v>
      </c>
      <c r="DP20" s="68"/>
      <c r="DQ20" s="66"/>
      <c r="DR20" s="48"/>
      <c r="DS20" s="70"/>
      <c r="DT20" s="59" t="str">
        <f>IF(AND($B$20="M",DS20="WA"),"M",IF(AND($B$20="M",DS20="EXC"),"M",IF(AND($B$20="F",DS20="WA"),"F",IF(AND($B$20="F",DS20="EXC"),"F","-"))))</f>
        <v>-</v>
      </c>
      <c r="DU20" s="64" t="str">
        <f t="shared" si="36"/>
        <v/>
      </c>
      <c r="DV20" s="69"/>
      <c r="DW20" s="59" t="str">
        <f>IF(AND($B$20="M",DV20="WA"),"M",IF(AND($B$20="M",DV20="EXC"),"M",IF(AND($B$20="F",DV20="WA"),"F",IF(AND($B$20="F",DV20="EXC"),"F","-"))))</f>
        <v>-</v>
      </c>
      <c r="DX20" s="64" t="str">
        <f t="shared" si="37"/>
        <v/>
      </c>
      <c r="DY20" s="69"/>
      <c r="DZ20" s="59" t="str">
        <f>IF(AND($B$20="M",DY20="WA"),"M",IF(AND($B$20="M",DY20="EXC"),"M",IF(AND($B$20="F",DY20="WA"),"F",IF(AND($B$20="F",DY20="EXC"),"F","-"))))</f>
        <v>-</v>
      </c>
      <c r="EA20" s="64" t="str">
        <f t="shared" si="38"/>
        <v/>
      </c>
      <c r="EB20" s="69"/>
      <c r="EC20" s="59" t="str">
        <f>IF(AND($B$20="M",EB20="WA"),"M",IF(AND($B$20="M",EB20="EXC"),"M",IF(AND($B$20="F",EB20="WA"),"F",IF(AND($B$20="F",EB20="EXC"),"F","-"))))</f>
        <v>-</v>
      </c>
      <c r="ED20" s="64" t="str">
        <f t="shared" si="39"/>
        <v/>
      </c>
      <c r="EE20" s="69"/>
      <c r="EF20" s="59" t="str">
        <f>IF(AND($B$20="M",EE20="WA"),"M",IF(AND($B$20="M",EE20="EXC"),"M",IF(AND($B$20="F",EE20="WA"),"F",IF(AND($B$20="F",EE20="EXC"),"F","-"))))</f>
        <v>-</v>
      </c>
      <c r="EG20" s="61" t="str">
        <f t="shared" si="40"/>
        <v/>
      </c>
      <c r="EH20" s="69"/>
      <c r="EI20" s="59" t="str">
        <f>IF(AND($B$20="M",EH20="WA"),"M",IF(AND($B$20="M",EH20="EXC"),"M",IF(AND($B$20="F",EH20="WA"),"F",IF(AND($B$20="F",EH20="EXC"),"F","-"))))</f>
        <v>-</v>
      </c>
      <c r="EJ20" s="61" t="str">
        <f t="shared" si="41"/>
        <v/>
      </c>
      <c r="EK20" s="61" t="str">
        <f t="shared" si="42"/>
        <v/>
      </c>
      <c r="EL20" s="65"/>
      <c r="EM20" s="47" t="str">
        <f>IF(AND($B$20="M",EL20="WA"),"M",IF(AND($B$20="M",EL20="EXC"),"M",IF(AND($B$20="F",EL20="WA"),"F",IF(AND($B$20="F",EL20="EXC"),"F","-"))))</f>
        <v>-</v>
      </c>
      <c r="EN20" s="68"/>
      <c r="EO20" s="66"/>
      <c r="EP20" s="48"/>
      <c r="EQ20" s="70"/>
      <c r="ER20" s="59" t="str">
        <f>IF(AND($B$20="M",EQ20="WA"),"M",IF(AND($B$20="M",EQ20="EXC"),"M",IF(AND($B$20="F",EQ20="WA"),"F",IF(AND($B$20="F",EQ20="EXC"),"F","-"))))</f>
        <v>-</v>
      </c>
      <c r="ES20" s="64" t="str">
        <f t="shared" si="43"/>
        <v/>
      </c>
      <c r="ET20" s="69"/>
      <c r="EU20" s="59" t="str">
        <f>IF(AND($B$20="M",ET20="WA"),"M",IF(AND($B$20="M",ET20="EXC"),"M",IF(AND($B$20="F",ET20="WA"),"F",IF(AND($B$20="F",ET20="EXC"),"F","-"))))</f>
        <v>-</v>
      </c>
      <c r="EV20" s="64" t="str">
        <f t="shared" si="44"/>
        <v/>
      </c>
      <c r="EW20" s="69"/>
      <c r="EX20" s="59" t="str">
        <f>IF(AND($B$20="M",EW20="WA"),"M",IF(AND($B$20="M",EW20="EXC"),"M",IF(AND($B$20="F",EW20="WA"),"F",IF(AND($B$20="F",EW20="EXC"),"F","-"))))</f>
        <v>-</v>
      </c>
      <c r="EY20" s="64" t="str">
        <f t="shared" si="45"/>
        <v/>
      </c>
      <c r="EZ20" s="69"/>
      <c r="FA20" s="59" t="str">
        <f>IF(AND($B$20="M",EZ20="WA"),"M",IF(AND($B$20="M",EZ20="EXC"),"M",IF(AND($B$20="F",EZ20="WA"),"F",IF(AND($B$20="F",EZ20="EXC"),"F","-"))))</f>
        <v>-</v>
      </c>
      <c r="FB20" s="64" t="str">
        <f t="shared" si="46"/>
        <v/>
      </c>
      <c r="FC20" s="69"/>
      <c r="FD20" s="59" t="str">
        <f>IF(AND($B$20="M",FC20="WA"),"M",IF(AND($B$20="M",FC20="EXC"),"M",IF(AND($B$20="F",FC20="WA"),"F",IF(AND($B$20="F",FC20="EXC"),"F","-"))))</f>
        <v>-</v>
      </c>
      <c r="FE20" s="61" t="str">
        <f t="shared" si="47"/>
        <v/>
      </c>
      <c r="FF20" s="69"/>
      <c r="FG20" s="59" t="str">
        <f>IF(AND($B$20="M",FF20="WA"),"M",IF(AND($B$20="M",FF20="EXC"),"M",IF(AND($B$20="F",FF20="WA"),"F",IF(AND($B$20="F",FF20="EXC"),"F","-"))))</f>
        <v>-</v>
      </c>
      <c r="FH20" s="61" t="str">
        <f t="shared" si="48"/>
        <v/>
      </c>
      <c r="FI20" s="61" t="str">
        <f t="shared" si="49"/>
        <v/>
      </c>
      <c r="FJ20" s="65"/>
      <c r="FK20" s="47" t="str">
        <f>IF(AND($B$20="M",FJ20="WA"),"M",IF(AND($B$20="M",FJ20="EXC"),"M",IF(AND($B$20="F",FJ20="WA"),"F",IF(AND($B$20="F",FJ20="EXC"),"F","-"))))</f>
        <v>-</v>
      </c>
      <c r="FL20" s="68"/>
      <c r="FM20" s="66"/>
      <c r="FN20" s="48"/>
      <c r="FO20" s="70"/>
      <c r="FP20" s="59" t="str">
        <f>IF(AND($B$20="M",FO20="WA"),"M",IF(AND($B$20="M",FO20="EXC"),"M",IF(AND($B$20="F",FO20="WA"),"F",IF(AND($B$20="F",FO20="EXC"),"F","-"))))</f>
        <v>-</v>
      </c>
      <c r="FQ20" s="64" t="str">
        <f t="shared" si="50"/>
        <v/>
      </c>
      <c r="FR20" s="69"/>
      <c r="FS20" s="59" t="str">
        <f>IF(AND($B$20="M",FR20="WA"),"M",IF(AND($B$20="M",FR20="EXC"),"M",IF(AND($B$20="F",FR20="WA"),"F",IF(AND($B$20="F",FR20="EXC"),"F","-"))))</f>
        <v>-</v>
      </c>
      <c r="FT20" s="64" t="str">
        <f t="shared" si="51"/>
        <v/>
      </c>
      <c r="FU20" s="69"/>
      <c r="FV20" s="59" t="str">
        <f>IF(AND($B$20="M",FU20="WA"),"M",IF(AND($B$20="M",FU20="EXC"),"M",IF(AND($B$20="F",FU20="WA"),"F",IF(AND($B$20="F",FU20="EXC"),"F","-"))))</f>
        <v>-</v>
      </c>
      <c r="FW20" s="64" t="str">
        <f t="shared" si="52"/>
        <v/>
      </c>
      <c r="FX20" s="69"/>
      <c r="FY20" s="59" t="str">
        <f>IF(AND($B$20="M",FX20="WA"),"M",IF(AND($B$20="M",FX20="EXC"),"M",IF(AND($B$20="F",FX20="WA"),"F",IF(AND($B$20="F",FX20="EXC"),"F","-"))))</f>
        <v>-</v>
      </c>
      <c r="FZ20" s="64" t="str">
        <f t="shared" si="53"/>
        <v/>
      </c>
      <c r="GA20" s="69"/>
      <c r="GB20" s="59" t="str">
        <f>IF(AND($B$20="M",GA20="WA"),"M",IF(AND($B$20="M",GA20="EXC"),"M",IF(AND($B$20="F",GA20="WA"),"F",IF(AND($B$20="F",GA20="EXC"),"F","-"))))</f>
        <v>-</v>
      </c>
      <c r="GC20" s="61" t="str">
        <f t="shared" si="54"/>
        <v/>
      </c>
      <c r="GD20" s="69"/>
      <c r="GE20" s="59" t="str">
        <f>IF(AND($B$20="M",GD20="WA"),"M",IF(AND($B$20="M",GD20="EXC"),"M",IF(AND($B$20="F",GD20="WA"),"F",IF(AND($B$20="F",GD20="EXC"),"F","-"))))</f>
        <v>-</v>
      </c>
      <c r="GF20" s="61" t="str">
        <f t="shared" si="55"/>
        <v/>
      </c>
      <c r="GG20" s="61" t="str">
        <f t="shared" si="56"/>
        <v/>
      </c>
      <c r="GH20" s="65"/>
      <c r="GI20" s="47" t="str">
        <f>IF(AND($B$20="M",GH20="WA"),"M",IF(AND($B$20="M",GH20="EXC"),"M",IF(AND($B$20="F",GH20="WA"),"F",IF(AND($B$20="F",GH20="EXC"),"F","-"))))</f>
        <v>-</v>
      </c>
      <c r="GJ20" s="68"/>
      <c r="GK20" s="66"/>
      <c r="GL20" s="48"/>
      <c r="GM20" s="70"/>
      <c r="GN20" s="59" t="str">
        <f>IF(AND($B$20="M",GM20="WA"),"M",IF(AND($B$20="M",GM20="EXC"),"M",IF(AND($B$20="F",GM20="WA"),"F",IF(AND($B$20="F",GM20="EXC"),"F","-"))))</f>
        <v>-</v>
      </c>
      <c r="GO20" s="64" t="str">
        <f t="shared" si="57"/>
        <v/>
      </c>
      <c r="GP20" s="69"/>
      <c r="GQ20" s="59" t="str">
        <f>IF(AND($B$20="M",GP20="WA"),"M",IF(AND($B$20="M",GP20="EXC"),"M",IF(AND($B$20="F",GP20="WA"),"F",IF(AND($B$20="F",GP20="EXC"),"F","-"))))</f>
        <v>-</v>
      </c>
      <c r="GR20" s="64" t="str">
        <f t="shared" si="58"/>
        <v/>
      </c>
      <c r="GS20" s="69"/>
      <c r="GT20" s="59" t="str">
        <f>IF(AND($B$20="M",GS20="WA"),"M",IF(AND($B$20="M",GS20="EXC"),"M",IF(AND($B$20="F",GS20="WA"),"F",IF(AND($B$20="F",GS20="EXC"),"F","-"))))</f>
        <v>-</v>
      </c>
      <c r="GU20" s="64" t="str">
        <f t="shared" si="59"/>
        <v/>
      </c>
      <c r="GV20" s="61" t="str">
        <f t="shared" si="60"/>
        <v/>
      </c>
      <c r="GW20" s="65"/>
      <c r="GX20" s="47" t="str">
        <f>IF(AND($B$20="M",GW20="WA"),"M",IF(AND($B$20="M",GW20="EXC"),"M",IF(AND($B$20="F",GW20="WA"),"F",IF(AND($B$20="F",GW20="EXC"),"F","-"))))</f>
        <v>-</v>
      </c>
      <c r="GY20" s="68"/>
      <c r="GZ20" s="66"/>
      <c r="HA20" s="48"/>
      <c r="HB20" s="70"/>
      <c r="HC20" s="59" t="str">
        <f>IF(AND($B$20="M",HB20="WA"),"M",IF(AND($B$20="M",HB20="EXC"),"M",IF(AND($B$20="F",HB20="WA"),"F",IF(AND($B$20="F",HB20="EXC"),"F","-"))))</f>
        <v>-</v>
      </c>
      <c r="HD20" s="64" t="str">
        <f t="shared" si="61"/>
        <v/>
      </c>
      <c r="HE20" s="69"/>
      <c r="HF20" s="59" t="str">
        <f>IF(AND($B$20="M",HE20="WA"),"M",IF(AND($B$20="M",HE20="EXC"),"M",IF(AND($B$20="F",HE20="WA"),"F",IF(AND($B$20="F",HE20="EXC"),"F","-"))))</f>
        <v>-</v>
      </c>
      <c r="HG20" s="64" t="str">
        <f t="shared" si="62"/>
        <v/>
      </c>
      <c r="HH20" s="69"/>
      <c r="HI20" s="59" t="str">
        <f>IF(AND($B$20="M",HH20="WA"),"M",IF(AND($B$20="M",HH20="EXC"),"M",IF(AND($B$20="F",HH20="WA"),"F",IF(AND($B$20="F",HH20="EXC"),"F","-"))))</f>
        <v>-</v>
      </c>
      <c r="HJ20" s="64" t="str">
        <f t="shared" si="63"/>
        <v/>
      </c>
      <c r="HK20" s="61" t="str">
        <f t="shared" si="64"/>
        <v/>
      </c>
      <c r="HL20" s="65"/>
      <c r="HM20" s="47" t="str">
        <f>IF(AND($B$20="M",HL20="WA"),"M",IF(AND($B$20="M",HL20="EXC"),"M",IF(AND($B$20="F",HL20="WA"),"F",IF(AND($B$20="F",HL20="EXC"),"F","-"))))</f>
        <v>-</v>
      </c>
      <c r="HN20" s="13"/>
      <c r="HO20" s="14"/>
      <c r="HP20" s="15"/>
      <c r="HQ20" s="54"/>
      <c r="HR20" s="55" t="str">
        <f>IF(AND($B$20="M",HQ20="WA"),"M",IF(AND($B$20="M",HQ20="EXC"),"M",IF(AND($B$20="F",HQ20="WA"),"F",IF(AND($B$20="F",HQ20="EXC"),"F","-"))))</f>
        <v>-</v>
      </c>
      <c r="HS20" s="56" t="str">
        <f t="shared" si="65"/>
        <v/>
      </c>
      <c r="HT20" s="54"/>
      <c r="HU20" s="55" t="str">
        <f>IF(AND($B$20="M",HT20="WA"),"M",IF(AND($B$20="M",HT20="EXC"),"M",IF(AND($B$20="F",HT20="WA"),"F",IF(AND($B$20="F",HT20="EXC"),"F","-"))))</f>
        <v>-</v>
      </c>
      <c r="HV20" s="56" t="str">
        <f t="shared" si="66"/>
        <v/>
      </c>
      <c r="HW20" s="54"/>
      <c r="HX20" s="55" t="str">
        <f>IF(AND($B$20="M",HW20="WA"),"M",IF(AND($B$20="M",HW20="EXC"),"M",IF(AND($B$20="F",HW20="WA"),"F",IF(AND($B$20="F",HW20="EXC"),"F","-"))))</f>
        <v>-</v>
      </c>
      <c r="HY20" s="56" t="str">
        <f t="shared" si="67"/>
        <v/>
      </c>
      <c r="HZ20" s="54" t="str">
        <f t="shared" si="68"/>
        <v/>
      </c>
      <c r="IA20" s="67"/>
      <c r="IB20" s="55" t="str">
        <f>IF(AND($B$20="M",IA20="WA"),"M",IF(AND($B$20="M",IA20="EXC"),"M",IF(AND($B$20="F",IA20="WA"),"F",IF(AND($B$20="F",IA20="EXC"),"F","-"))))</f>
        <v>-</v>
      </c>
      <c r="IC20" s="17"/>
    </row>
    <row r="21">
      <c r="A21" s="40"/>
      <c r="B21" s="41"/>
      <c r="C21" s="69"/>
      <c r="D21" s="59" t="str">
        <f>IF(AND($B$21="M",C21="WA"),"M",IF(AND($B$21="M",C21="EXC"),"M",IF(AND($B$21="F",C21="WA"),"F",IF(AND($B$21="F",C21="EXC"),"F","-"))))</f>
        <v>-</v>
      </c>
      <c r="E21" s="60" t="str">
        <f t="shared" si="1"/>
        <v/>
      </c>
      <c r="F21" s="69"/>
      <c r="G21" s="59" t="str">
        <f>IF(AND($B$21="M",F21="WA"),"M",IF(AND($B$21="M",F21="EXC"),"M",IF(AND($B$21="F",F21="WA"),"F",IF(AND($B$21="F",F21="EXC"),"F","-"))))</f>
        <v>-</v>
      </c>
      <c r="H21" s="60" t="str">
        <f t="shared" si="2"/>
        <v/>
      </c>
      <c r="I21" s="69"/>
      <c r="J21" s="59" t="str">
        <f>IF(AND($B$21="M",I21="WA"),"M",IF(AND($B$21="M",I21="EXC"),"M",IF(AND($B$21="F",I21="WA"),"F",IF(AND($B$21="F",I21="EXC"),"F","-"))))</f>
        <v>-</v>
      </c>
      <c r="K21" s="60" t="str">
        <f t="shared" si="3"/>
        <v/>
      </c>
      <c r="L21" s="69"/>
      <c r="M21" s="59" t="str">
        <f>IF(AND($B$21="M",L21="WA"),"M",IF(AND($B$21="M",L21="EXC"),"M",IF(AND($B$21="F",L21="WA"),"F",IF(AND($B$21="F",L21="EXC"),"F","-"))))</f>
        <v>-</v>
      </c>
      <c r="N21" s="60" t="str">
        <f t="shared" si="4"/>
        <v/>
      </c>
      <c r="O21" s="69"/>
      <c r="P21" s="59" t="str">
        <f>IF(AND($B$21="M",O21="WA"),"M",IF(AND($B$21="M",O21="EXC"),"M",IF(AND($B$21="F",O21="WA"),"F",IF(AND($B$21="F",O21="EXC"),"F","-"))))</f>
        <v>-</v>
      </c>
      <c r="Q21" s="60" t="str">
        <f t="shared" si="5"/>
        <v/>
      </c>
      <c r="R21" s="69"/>
      <c r="S21" s="59" t="str">
        <f>IF(AND($B$21="M",R21="WA"),"M",IF(AND($B$21="M",R21="EXC"),"M",IF(AND($B$21="F",R21="WA"),"F",IF(AND($B$21="F",R21="EXC"),"F","-"))))</f>
        <v>-</v>
      </c>
      <c r="T21" s="60" t="str">
        <f t="shared" si="6"/>
        <v/>
      </c>
      <c r="U21" s="61" t="str">
        <f t="shared" si="7"/>
        <v/>
      </c>
      <c r="V21" s="62"/>
      <c r="W21" s="47" t="str">
        <f>IF(AND($B$21="M",V21="WA"),"M",IF(AND($B$21="M",V21="EXC"),"M",IF(AND($B$21="F",V21="WA"),"F",IF(AND($B$21="F",V21="EXC"),"F","-"))))</f>
        <v>-</v>
      </c>
      <c r="X21" s="48"/>
      <c r="Y21" s="49"/>
      <c r="Z21" s="48"/>
      <c r="AA21" s="70"/>
      <c r="AB21" s="59" t="str">
        <f>IF(AND($B$21="M",AA21="WA"),"M",IF(AND($B$21="M",AA21="EXC"),"M",IF(AND($B$21="F",AA21="WA"),"F",IF(AND($B$21="F",AA21="EXC"),"F","-"))))</f>
        <v>-</v>
      </c>
      <c r="AC21" s="64" t="str">
        <f t="shared" si="8"/>
        <v/>
      </c>
      <c r="AD21" s="69"/>
      <c r="AE21" s="59" t="str">
        <f>IF(AND($B$21="M",AD21="WA"),"M",IF(AND($B$21="M",AD21="EXC"),"M",IF(AND($B$21="F",AD21="WA"),"F",IF(AND($B$21="F",AD21="EXC"),"F","-"))))</f>
        <v>-</v>
      </c>
      <c r="AF21" s="64" t="str">
        <f t="shared" si="9"/>
        <v/>
      </c>
      <c r="AG21" s="69"/>
      <c r="AH21" s="59" t="str">
        <f>IF(AND($B$21="M",AG21="WA"),"M",IF(AND($B$21="M",AG21="EXC"),"M",IF(AND($B$21="F",AG21="WA"),"F",IF(AND($B$21="F",AG21="EXC"),"F","-"))))</f>
        <v>-</v>
      </c>
      <c r="AI21" s="64" t="str">
        <f t="shared" si="10"/>
        <v/>
      </c>
      <c r="AJ21" s="69"/>
      <c r="AK21" s="59" t="str">
        <f>IF(AND($B$21="M",AJ21="WA"),"M",IF(AND($B$21="M",AJ21="EXC"),"M",IF(AND($B$21="F",AJ21="WA"),"F",IF(AND($B$21="F",AJ21="EXC"),"F","-"))))</f>
        <v>-</v>
      </c>
      <c r="AL21" s="64" t="str">
        <f t="shared" si="11"/>
        <v/>
      </c>
      <c r="AM21" s="69"/>
      <c r="AN21" s="59" t="str">
        <f>IF(AND($B$21="M",AM21="WA"),"M",IF(AND($B$21="M",AM21="EXC"),"M",IF(AND($B$21="F",AM21="WA"),"F",IF(AND($B$21="F",AM21="EXC"),"F","-"))))</f>
        <v>-</v>
      </c>
      <c r="AO21" s="61" t="str">
        <f t="shared" si="12"/>
        <v/>
      </c>
      <c r="AP21" s="69"/>
      <c r="AQ21" s="59" t="str">
        <f>IF(AND($B$21="M",AP21="WA"),"M",IF(AND($B$21="M",AP21="EXC"),"M",IF(AND($B$21="F",AP21="WA"),"F",IF(AND($B$21="F",AP21="EXC"),"F","-"))))</f>
        <v>-</v>
      </c>
      <c r="AR21" s="61" t="str">
        <f t="shared" si="13"/>
        <v/>
      </c>
      <c r="AS21" s="61" t="str">
        <f t="shared" si="14"/>
        <v/>
      </c>
      <c r="AT21" s="65"/>
      <c r="AU21" s="47" t="str">
        <f>IF(AND($B$21="M",AT21="WA"),"M",IF(AND($B$21="M",AT21="EXC"),"M",IF(AND($B$21="F",AT21="WA"),"F",IF(AND($B$21="F",AT21="EXC"),"F","-"))))</f>
        <v>-</v>
      </c>
      <c r="AV21" s="68"/>
      <c r="AW21" s="66"/>
      <c r="AX21" s="48"/>
      <c r="AY21" s="70"/>
      <c r="AZ21" s="59" t="str">
        <f>IF(AND($B$21="M",AY21="WA"),"M",IF(AND($B$21="M",AY21="EXC"),"M",IF(AND($B$21="F",AY21="WA"),"F",IF(AND($B$21="F",AY21="EXC"),"F","-"))))</f>
        <v>-</v>
      </c>
      <c r="BA21" s="64" t="str">
        <f t="shared" si="15"/>
        <v/>
      </c>
      <c r="BB21" s="69"/>
      <c r="BC21" s="59" t="str">
        <f>IF(AND($B$21="M",BB21="WA"),"M",IF(AND($B$21="M",BB21="EXC"),"M",IF(AND($B$21="F",BB21="WA"),"F",IF(AND($B$21="F",BB21="EXC"),"F","-"))))</f>
        <v>-</v>
      </c>
      <c r="BD21" s="64" t="str">
        <f t="shared" si="16"/>
        <v/>
      </c>
      <c r="BE21" s="69"/>
      <c r="BF21" s="59" t="str">
        <f>IF(AND($B$21="M",BE21="WA"),"M",IF(AND($B$21="M",BE21="EXC"),"M",IF(AND($B$21="F",BE21="WA"),"F",IF(AND($B$21="F",BE21="EXC"),"F","-"))))</f>
        <v>-</v>
      </c>
      <c r="BG21" s="64" t="str">
        <f t="shared" si="17"/>
        <v/>
      </c>
      <c r="BH21" s="69"/>
      <c r="BI21" s="59" t="str">
        <f>IF(AND($B$21="M",BH21="WA"),"M",IF(AND($B$21="M",BH21="EXC"),"M",IF(AND($B$21="F",BH21="WA"),"F",IF(AND($B$21="F",BH21="EXC"),"F","-"))))</f>
        <v>-</v>
      </c>
      <c r="BJ21" s="64" t="str">
        <f t="shared" si="18"/>
        <v/>
      </c>
      <c r="BK21" s="69"/>
      <c r="BL21" s="59" t="str">
        <f>IF(AND($B$21="M",BK21="WA"),"M",IF(AND($B$21="M",BK21="EXC"),"M",IF(AND($B$21="F",BK21="WA"),"F",IF(AND($B$21="F",BK21="EXC"),"F","-"))))</f>
        <v>-</v>
      </c>
      <c r="BM21" s="61" t="str">
        <f t="shared" si="19"/>
        <v/>
      </c>
      <c r="BN21" s="69"/>
      <c r="BO21" s="59" t="str">
        <f>IF(AND($B$21="M",BN21="WA"),"M",IF(AND($B$21="M",BN21="EXC"),"M",IF(AND($B$21="F",BN21="WA"),"F",IF(AND($B$21="F",BN21="EXC"),"F","-"))))</f>
        <v>-</v>
      </c>
      <c r="BP21" s="61" t="str">
        <f t="shared" si="20"/>
        <v/>
      </c>
      <c r="BQ21" s="61" t="str">
        <f t="shared" si="21"/>
        <v/>
      </c>
      <c r="BR21" s="65"/>
      <c r="BS21" s="47" t="str">
        <f>IF(AND($B$21="M",BR21="WA"),"M",IF(AND($B$21="M",BR21="EXC"),"M",IF(AND($B$21="F",BR21="WA"),"F",IF(AND($B$21="F",BR21="EXC"),"F","-"))))</f>
        <v>-</v>
      </c>
      <c r="BT21" s="68"/>
      <c r="BU21" s="66"/>
      <c r="BV21" s="48"/>
      <c r="BW21" s="70"/>
      <c r="BX21" s="59" t="str">
        <f>IF(AND($B$21="M",BW21="WA"),"M",IF(AND($B$21="M",BW21="EXC"),"M",IF(AND($B$21="F",BW21="WA"),"F",IF(AND($B$21="F",BW21="EXC"),"F","-"))))</f>
        <v>-</v>
      </c>
      <c r="BY21" s="64" t="str">
        <f t="shared" si="22"/>
        <v/>
      </c>
      <c r="BZ21" s="69"/>
      <c r="CA21" s="59" t="str">
        <f>IF(AND($B$21="M",BZ21="WA"),"M",IF(AND($B$21="M",BZ21="EXC"),"M",IF(AND($B$21="F",BZ21="WA"),"F",IF(AND($B$21="F",BZ21="EXC"),"F","-"))))</f>
        <v>-</v>
      </c>
      <c r="CB21" s="64" t="str">
        <f t="shared" si="23"/>
        <v/>
      </c>
      <c r="CC21" s="69"/>
      <c r="CD21" s="59" t="str">
        <f>IF(AND($B$21="M",CC21="WA"),"M",IF(AND($B$21="M",CC21="EXC"),"M",IF(AND($B$21="F",CC21="WA"),"F",IF(AND($B$21="F",CC21="EXC"),"F","-"))))</f>
        <v>-</v>
      </c>
      <c r="CE21" s="64" t="str">
        <f t="shared" si="24"/>
        <v/>
      </c>
      <c r="CF21" s="69"/>
      <c r="CG21" s="59" t="str">
        <f>IF(AND($B$21="M",CF21="WA"),"M",IF(AND($B$21="M",CF21="EXC"),"M",IF(AND($B$21="F",CF21="WA"),"F",IF(AND($B$21="F",CF21="EXC"),"F","-"))))</f>
        <v>-</v>
      </c>
      <c r="CH21" s="64" t="str">
        <f t="shared" si="25"/>
        <v/>
      </c>
      <c r="CI21" s="69"/>
      <c r="CJ21" s="59" t="str">
        <f>IF(AND($B$21="M",CI21="WA"),"M",IF(AND($B$21="M",CI21="EXC"),"M",IF(AND($B$21="F",CI21="WA"),"F",IF(AND($B$21="F",CI21="EXC"),"F","-"))))</f>
        <v>-</v>
      </c>
      <c r="CK21" s="61" t="str">
        <f t="shared" si="26"/>
        <v/>
      </c>
      <c r="CL21" s="69"/>
      <c r="CM21" s="59" t="str">
        <f>IF(AND($B$21="M",CL21="WA"),"M",IF(AND($B$21="M",CL21="EXC"),"M",IF(AND($B$21="F",CL21="WA"),"F",IF(AND($B$21="F",CL21="EXC"),"F","-"))))</f>
        <v>-</v>
      </c>
      <c r="CN21" s="61" t="str">
        <f t="shared" si="27"/>
        <v/>
      </c>
      <c r="CO21" s="61" t="str">
        <f t="shared" si="28"/>
        <v/>
      </c>
      <c r="CP21" s="65"/>
      <c r="CQ21" s="47" t="str">
        <f>IF(AND($B$21="M",CP21="WA"),"M",IF(AND($B$21="M",CP21="EXC"),"M",IF(AND($B$21="F",CP21="WA"),"F",IF(AND($B$21="F",CP21="EXC"),"F","-"))))</f>
        <v>-</v>
      </c>
      <c r="CR21" s="68"/>
      <c r="CS21" s="66"/>
      <c r="CT21" s="48"/>
      <c r="CU21" s="70"/>
      <c r="CV21" s="59" t="str">
        <f>IF(AND($B$21="M",CU21="WA"),"M",IF(AND($B$21="M",CU21="EXC"),"M",IF(AND($B$21="F",CU21="WA"),"F",IF(AND($B$21="F",CU21="EXC"),"F","-"))))</f>
        <v>-</v>
      </c>
      <c r="CW21" s="64" t="str">
        <f t="shared" si="29"/>
        <v/>
      </c>
      <c r="CX21" s="69"/>
      <c r="CY21" s="59" t="str">
        <f>IF(AND($B$21="M",CX21="WA"),"M",IF(AND($B$21="M",CX21="EXC"),"M",IF(AND($B$21="F",CX21="WA"),"F",IF(AND($B$21="F",CX21="EXC"),"F","-"))))</f>
        <v>-</v>
      </c>
      <c r="CZ21" s="64" t="str">
        <f t="shared" si="30"/>
        <v/>
      </c>
      <c r="DA21" s="69"/>
      <c r="DB21" s="59" t="str">
        <f>IF(AND($B$21="M",DA21="WA"),"M",IF(AND($B$21="M",DA21="EXC"),"M",IF(AND($B$21="F",DA21="WA"),"F",IF(AND($B$21="F",DA21="EXC"),"F","-"))))</f>
        <v>-</v>
      </c>
      <c r="DC21" s="64" t="str">
        <f t="shared" si="31"/>
        <v/>
      </c>
      <c r="DD21" s="69"/>
      <c r="DE21" s="59" t="str">
        <f>IF(AND($B$21="M",DD21="WA"),"M",IF(AND($B$21="M",DD21="EXC"),"M",IF(AND($B$21="F",DD21="WA"),"F",IF(AND($B$21="F",DD21="EXC"),"F","-"))))</f>
        <v>-</v>
      </c>
      <c r="DF21" s="64" t="str">
        <f t="shared" si="32"/>
        <v/>
      </c>
      <c r="DG21" s="69"/>
      <c r="DH21" s="59" t="str">
        <f>IF(AND($B$21="M",DG21="WA"),"M",IF(AND($B$21="M",DG21="EXC"),"M",IF(AND($B$21="F",DG21="WA"),"F",IF(AND($B$21="F",DG21="EXC"),"F","-"))))</f>
        <v>-</v>
      </c>
      <c r="DI21" s="61" t="str">
        <f t="shared" si="33"/>
        <v/>
      </c>
      <c r="DJ21" s="69"/>
      <c r="DK21" s="59" t="str">
        <f>IF(AND($B$21="M",DJ21="WA"),"M",IF(AND($B$21="M",DJ21="EXC"),"M",IF(AND($B$21="F",DJ21="WA"),"F",IF(AND($B$21="F",DJ21="EXC"),"F","-"))))</f>
        <v>-</v>
      </c>
      <c r="DL21" s="61" t="str">
        <f t="shared" si="34"/>
        <v/>
      </c>
      <c r="DM21" s="61" t="str">
        <f t="shared" si="35"/>
        <v/>
      </c>
      <c r="DN21" s="65"/>
      <c r="DO21" s="47" t="str">
        <f>IF(AND($B$21="M",DN21="WA"),"M",IF(AND($B$21="M",DN21="EXC"),"M",IF(AND($B$21="F",DN21="WA"),"F",IF(AND($B$21="F",DN21="EXC"),"F","-"))))</f>
        <v>-</v>
      </c>
      <c r="DP21" s="68"/>
      <c r="DQ21" s="66"/>
      <c r="DR21" s="48"/>
      <c r="DS21" s="70"/>
      <c r="DT21" s="59" t="str">
        <f>IF(AND($B$21="M",DS21="WA"),"M",IF(AND($B$21="M",DS21="EXC"),"M",IF(AND($B$21="F",DS21="WA"),"F",IF(AND($B$21="F",DS21="EXC"),"F","-"))))</f>
        <v>-</v>
      </c>
      <c r="DU21" s="64" t="str">
        <f t="shared" si="36"/>
        <v/>
      </c>
      <c r="DV21" s="69"/>
      <c r="DW21" s="59" t="str">
        <f>IF(AND($B$21="M",DV21="WA"),"M",IF(AND($B$21="M",DV21="EXC"),"M",IF(AND($B$21="F",DV21="WA"),"F",IF(AND($B$21="F",DV21="EXC"),"F","-"))))</f>
        <v>-</v>
      </c>
      <c r="DX21" s="64" t="str">
        <f t="shared" si="37"/>
        <v/>
      </c>
      <c r="DY21" s="69"/>
      <c r="DZ21" s="59" t="str">
        <f>IF(AND($B$21="M",DY21="WA"),"M",IF(AND($B$21="M",DY21="EXC"),"M",IF(AND($B$21="F",DY21="WA"),"F",IF(AND($B$21="F",DY21="EXC"),"F","-"))))</f>
        <v>-</v>
      </c>
      <c r="EA21" s="64" t="str">
        <f t="shared" si="38"/>
        <v/>
      </c>
      <c r="EB21" s="69"/>
      <c r="EC21" s="59" t="str">
        <f>IF(AND($B$21="M",EB21="WA"),"M",IF(AND($B$21="M",EB21="EXC"),"M",IF(AND($B$21="F",EB21="WA"),"F",IF(AND($B$21="F",EB21="EXC"),"F","-"))))</f>
        <v>-</v>
      </c>
      <c r="ED21" s="64" t="str">
        <f t="shared" si="39"/>
        <v/>
      </c>
      <c r="EE21" s="69"/>
      <c r="EF21" s="59" t="str">
        <f>IF(AND($B$21="M",EE21="WA"),"M",IF(AND($B$21="M",EE21="EXC"),"M",IF(AND($B$21="F",EE21="WA"),"F",IF(AND($B$21="F",EE21="EXC"),"F","-"))))</f>
        <v>-</v>
      </c>
      <c r="EG21" s="61" t="str">
        <f t="shared" si="40"/>
        <v/>
      </c>
      <c r="EH21" s="69"/>
      <c r="EI21" s="59" t="str">
        <f>IF(AND($B$21="M",EH21="WA"),"M",IF(AND($B$21="M",EH21="EXC"),"M",IF(AND($B$21="F",EH21="WA"),"F",IF(AND($B$21="F",EH21="EXC"),"F","-"))))</f>
        <v>-</v>
      </c>
      <c r="EJ21" s="61" t="str">
        <f t="shared" si="41"/>
        <v/>
      </c>
      <c r="EK21" s="61" t="str">
        <f t="shared" si="42"/>
        <v/>
      </c>
      <c r="EL21" s="65"/>
      <c r="EM21" s="47" t="str">
        <f>IF(AND($B$21="M",EL21="WA"),"M",IF(AND($B$21="M",EL21="EXC"),"M",IF(AND($B$21="F",EL21="WA"),"F",IF(AND($B$21="F",EL21="EXC"),"F","-"))))</f>
        <v>-</v>
      </c>
      <c r="EN21" s="68"/>
      <c r="EO21" s="66"/>
      <c r="EP21" s="48"/>
      <c r="EQ21" s="70"/>
      <c r="ER21" s="59" t="str">
        <f>IF(AND($B$21="M",EQ21="WA"),"M",IF(AND($B$21="M",EQ21="EXC"),"M",IF(AND($B$21="F",EQ21="WA"),"F",IF(AND($B$21="F",EQ21="EXC"),"F","-"))))</f>
        <v>-</v>
      </c>
      <c r="ES21" s="64" t="str">
        <f t="shared" si="43"/>
        <v/>
      </c>
      <c r="ET21" s="69"/>
      <c r="EU21" s="59" t="str">
        <f>IF(AND($B$21="M",ET21="WA"),"M",IF(AND($B$21="M",ET21="EXC"),"M",IF(AND($B$21="F",ET21="WA"),"F",IF(AND($B$21="F",ET21="EXC"),"F","-"))))</f>
        <v>-</v>
      </c>
      <c r="EV21" s="64" t="str">
        <f t="shared" si="44"/>
        <v/>
      </c>
      <c r="EW21" s="69"/>
      <c r="EX21" s="59" t="str">
        <f>IF(AND($B$21="M",EW21="WA"),"M",IF(AND($B$21="M",EW21="EXC"),"M",IF(AND($B$21="F",EW21="WA"),"F",IF(AND($B$21="F",EW21="EXC"),"F","-"))))</f>
        <v>-</v>
      </c>
      <c r="EY21" s="64" t="str">
        <f t="shared" si="45"/>
        <v/>
      </c>
      <c r="EZ21" s="69"/>
      <c r="FA21" s="59" t="str">
        <f>IF(AND($B$21="M",EZ21="WA"),"M",IF(AND($B$21="M",EZ21="EXC"),"M",IF(AND($B$21="F",EZ21="WA"),"F",IF(AND($B$21="F",EZ21="EXC"),"F","-"))))</f>
        <v>-</v>
      </c>
      <c r="FB21" s="64" t="str">
        <f t="shared" si="46"/>
        <v/>
      </c>
      <c r="FC21" s="69"/>
      <c r="FD21" s="59" t="str">
        <f>IF(AND($B$21="M",FC21="WA"),"M",IF(AND($B$21="M",FC21="EXC"),"M",IF(AND($B$21="F",FC21="WA"),"F",IF(AND($B$21="F",FC21="EXC"),"F","-"))))</f>
        <v>-</v>
      </c>
      <c r="FE21" s="61" t="str">
        <f t="shared" si="47"/>
        <v/>
      </c>
      <c r="FF21" s="69"/>
      <c r="FG21" s="59" t="str">
        <f>IF(AND($B$21="M",FF21="WA"),"M",IF(AND($B$21="M",FF21="EXC"),"M",IF(AND($B$21="F",FF21="WA"),"F",IF(AND($B$21="F",FF21="EXC"),"F","-"))))</f>
        <v>-</v>
      </c>
      <c r="FH21" s="61" t="str">
        <f t="shared" si="48"/>
        <v/>
      </c>
      <c r="FI21" s="61" t="str">
        <f t="shared" si="49"/>
        <v/>
      </c>
      <c r="FJ21" s="65"/>
      <c r="FK21" s="47" t="str">
        <f>IF(AND($B$21="M",FJ21="WA"),"M",IF(AND($B$21="M",FJ21="EXC"),"M",IF(AND($B$21="F",FJ21="WA"),"F",IF(AND($B$21="F",FJ21="EXC"),"F","-"))))</f>
        <v>-</v>
      </c>
      <c r="FL21" s="68"/>
      <c r="FM21" s="66"/>
      <c r="FN21" s="48"/>
      <c r="FO21" s="70"/>
      <c r="FP21" s="59" t="str">
        <f>IF(AND($B$21="M",FO21="WA"),"M",IF(AND($B$21="M",FO21="EXC"),"M",IF(AND($B$21="F",FO21="WA"),"F",IF(AND($B$21="F",FO21="EXC"),"F","-"))))</f>
        <v>-</v>
      </c>
      <c r="FQ21" s="64" t="str">
        <f t="shared" si="50"/>
        <v/>
      </c>
      <c r="FR21" s="69"/>
      <c r="FS21" s="59" t="str">
        <f>IF(AND($B$21="M",FR21="WA"),"M",IF(AND($B$21="M",FR21="EXC"),"M",IF(AND($B$21="F",FR21="WA"),"F",IF(AND($B$21="F",FR21="EXC"),"F","-"))))</f>
        <v>-</v>
      </c>
      <c r="FT21" s="64" t="str">
        <f t="shared" si="51"/>
        <v/>
      </c>
      <c r="FU21" s="69"/>
      <c r="FV21" s="59" t="str">
        <f>IF(AND($B$21="M",FU21="WA"),"M",IF(AND($B$21="M",FU21="EXC"),"M",IF(AND($B$21="F",FU21="WA"),"F",IF(AND($B$21="F",FU21="EXC"),"F","-"))))</f>
        <v>-</v>
      </c>
      <c r="FW21" s="64" t="str">
        <f t="shared" si="52"/>
        <v/>
      </c>
      <c r="FX21" s="69"/>
      <c r="FY21" s="59" t="str">
        <f>IF(AND($B$21="M",FX21="WA"),"M",IF(AND($B$21="M",FX21="EXC"),"M",IF(AND($B$21="F",FX21="WA"),"F",IF(AND($B$21="F",FX21="EXC"),"F","-"))))</f>
        <v>-</v>
      </c>
      <c r="FZ21" s="64" t="str">
        <f t="shared" si="53"/>
        <v/>
      </c>
      <c r="GA21" s="69"/>
      <c r="GB21" s="59" t="str">
        <f>IF(AND($B$21="M",GA21="WA"),"M",IF(AND($B$21="M",GA21="EXC"),"M",IF(AND($B$21="F",GA21="WA"),"F",IF(AND($B$21="F",GA21="EXC"),"F","-"))))</f>
        <v>-</v>
      </c>
      <c r="GC21" s="61" t="str">
        <f t="shared" si="54"/>
        <v/>
      </c>
      <c r="GD21" s="69"/>
      <c r="GE21" s="59" t="str">
        <f>IF(AND($B$21="M",GD21="WA"),"M",IF(AND($B$21="M",GD21="EXC"),"M",IF(AND($B$21="F",GD21="WA"),"F",IF(AND($B$21="F",GD21="EXC"),"F","-"))))</f>
        <v>-</v>
      </c>
      <c r="GF21" s="61" t="str">
        <f t="shared" si="55"/>
        <v/>
      </c>
      <c r="GG21" s="61" t="str">
        <f t="shared" si="56"/>
        <v/>
      </c>
      <c r="GH21" s="65"/>
      <c r="GI21" s="47" t="str">
        <f>IF(AND($B$21="M",GH21="WA"),"M",IF(AND($B$21="M",GH21="EXC"),"M",IF(AND($B$21="F",GH21="WA"),"F",IF(AND($B$21="F",GH21="EXC"),"F","-"))))</f>
        <v>-</v>
      </c>
      <c r="GJ21" s="68"/>
      <c r="GK21" s="66"/>
      <c r="GL21" s="48"/>
      <c r="GM21" s="70"/>
      <c r="GN21" s="59" t="str">
        <f>IF(AND($B$21="M",GM21="WA"),"M",IF(AND($B$21="M",GM21="EXC"),"M",IF(AND($B$21="F",GM21="WA"),"F",IF(AND($B$21="F",GM21="EXC"),"F","-"))))</f>
        <v>-</v>
      </c>
      <c r="GO21" s="64" t="str">
        <f t="shared" si="57"/>
        <v/>
      </c>
      <c r="GP21" s="69"/>
      <c r="GQ21" s="59" t="str">
        <f>IF(AND($B$21="M",GP21="WA"),"M",IF(AND($B$21="M",GP21="EXC"),"M",IF(AND($B$21="F",GP21="WA"),"F",IF(AND($B$21="F",GP21="EXC"),"F","-"))))</f>
        <v>-</v>
      </c>
      <c r="GR21" s="64" t="str">
        <f t="shared" si="58"/>
        <v/>
      </c>
      <c r="GS21" s="69"/>
      <c r="GT21" s="59" t="str">
        <f>IF(AND($B$21="M",GS21="WA"),"M",IF(AND($B$21="M",GS21="EXC"),"M",IF(AND($B$21="F",GS21="WA"),"F",IF(AND($B$21="F",GS21="EXC"),"F","-"))))</f>
        <v>-</v>
      </c>
      <c r="GU21" s="64" t="str">
        <f t="shared" si="59"/>
        <v/>
      </c>
      <c r="GV21" s="61" t="str">
        <f t="shared" si="60"/>
        <v/>
      </c>
      <c r="GW21" s="65"/>
      <c r="GX21" s="47" t="str">
        <f>IF(AND($B$21="M",GW21="WA"),"M",IF(AND($B$21="M",GW21="EXC"),"M",IF(AND($B$21="F",GW21="WA"),"F",IF(AND($B$21="F",GW21="EXC"),"F","-"))))</f>
        <v>-</v>
      </c>
      <c r="GY21" s="68"/>
      <c r="GZ21" s="66"/>
      <c r="HA21" s="48"/>
      <c r="HB21" s="70"/>
      <c r="HC21" s="59" t="str">
        <f>IF(AND($B$21="M",HB21="WA"),"M",IF(AND($B$21="M",HB21="EXC"),"M",IF(AND($B$21="F",HB21="WA"),"F",IF(AND($B$21="F",HB21="EXC"),"F","-"))))</f>
        <v>-</v>
      </c>
      <c r="HD21" s="64" t="str">
        <f t="shared" si="61"/>
        <v/>
      </c>
      <c r="HE21" s="69"/>
      <c r="HF21" s="59" t="str">
        <f>IF(AND($B$21="M",HE21="WA"),"M",IF(AND($B$21="M",HE21="EXC"),"M",IF(AND($B$21="F",HE21="WA"),"F",IF(AND($B$21="F",HE21="EXC"),"F","-"))))</f>
        <v>-</v>
      </c>
      <c r="HG21" s="64" t="str">
        <f t="shared" si="62"/>
        <v/>
      </c>
      <c r="HH21" s="69"/>
      <c r="HI21" s="59" t="str">
        <f>IF(AND($B$21="M",HH21="WA"),"M",IF(AND($B$21="M",HH21="EXC"),"M",IF(AND($B$21="F",HH21="WA"),"F",IF(AND($B$21="F",HH21="EXC"),"F","-"))))</f>
        <v>-</v>
      </c>
      <c r="HJ21" s="64" t="str">
        <f t="shared" si="63"/>
        <v/>
      </c>
      <c r="HK21" s="61" t="str">
        <f t="shared" si="64"/>
        <v/>
      </c>
      <c r="HL21" s="65"/>
      <c r="HM21" s="47" t="str">
        <f>IF(AND($B$21="M",HL21="WA"),"M",IF(AND($B$21="M",HL21="EXC"),"M",IF(AND($B$21="F",HL21="WA"),"F",IF(AND($B$21="F",HL21="EXC"),"F","-"))))</f>
        <v>-</v>
      </c>
      <c r="HN21" s="13"/>
      <c r="HO21" s="14"/>
      <c r="HP21" s="15"/>
      <c r="HQ21" s="54"/>
      <c r="HR21" s="55" t="str">
        <f>IF(AND($B$21="M",HQ21="WA"),"M",IF(AND($B$21="M",HQ21="EXC"),"M",IF(AND($B$21="F",HQ21="WA"),"F",IF(AND($B$21="F",HQ21="EXC"),"F","-"))))</f>
        <v>-</v>
      </c>
      <c r="HS21" s="56" t="str">
        <f t="shared" si="65"/>
        <v/>
      </c>
      <c r="HT21" s="54"/>
      <c r="HU21" s="55" t="str">
        <f>IF(AND($B$21="M",HT21="WA"),"M",IF(AND($B$21="M",HT21="EXC"),"M",IF(AND($B$21="F",HT21="WA"),"F",IF(AND($B$21="F",HT21="EXC"),"F","-"))))</f>
        <v>-</v>
      </c>
      <c r="HV21" s="56" t="str">
        <f t="shared" si="66"/>
        <v/>
      </c>
      <c r="HW21" s="54"/>
      <c r="HX21" s="55" t="str">
        <f>IF(AND($B$21="M",HW21="WA"),"M",IF(AND($B$21="M",HW21="EXC"),"M",IF(AND($B$21="F",HW21="WA"),"F",IF(AND($B$21="F",HW21="EXC"),"F","-"))))</f>
        <v>-</v>
      </c>
      <c r="HY21" s="56" t="str">
        <f t="shared" si="67"/>
        <v/>
      </c>
      <c r="HZ21" s="54" t="str">
        <f t="shared" si="68"/>
        <v/>
      </c>
      <c r="IA21" s="67"/>
      <c r="IB21" s="55" t="str">
        <f>IF(AND($B$21="M",IA21="WA"),"M",IF(AND($B$21="M",IA21="EXC"),"M",IF(AND($B$21="F",IA21="WA"),"F",IF(AND($B$21="F",IA21="EXC"),"F","-"))))</f>
        <v>-</v>
      </c>
      <c r="IC21" s="17"/>
    </row>
    <row r="22">
      <c r="A22" s="40"/>
      <c r="B22" s="41"/>
      <c r="C22" s="69"/>
      <c r="D22" s="59" t="str">
        <f>IF(AND($B$22="M",C22="WA"),"M",IF(AND($B$22="M",C22="EXC"),"M",IF(AND($B$22="F",C22="WA"),"F",IF(AND($B$22="F",C22="EXC"),"F","-"))))</f>
        <v>-</v>
      </c>
      <c r="E22" s="60" t="str">
        <f t="shared" si="1"/>
        <v/>
      </c>
      <c r="F22" s="69"/>
      <c r="G22" s="59" t="str">
        <f>IF(AND($B$22="M",F22="WA"),"M",IF(AND($B$22="M",F22="EXC"),"M",IF(AND($B$22="F",F22="WA"),"F",IF(AND($B$22="F",F22="EXC"),"F","-"))))</f>
        <v>-</v>
      </c>
      <c r="H22" s="60" t="str">
        <f t="shared" si="2"/>
        <v/>
      </c>
      <c r="I22" s="69"/>
      <c r="J22" s="59" t="str">
        <f>IF(AND($B$22="M",I22="WA"),"M",IF(AND($B$22="M",I22="EXC"),"M",IF(AND($B$22="F",I22="WA"),"F",IF(AND($B$22="F",I22="EXC"),"F","-"))))</f>
        <v>-</v>
      </c>
      <c r="K22" s="60" t="str">
        <f t="shared" si="3"/>
        <v/>
      </c>
      <c r="L22" s="69"/>
      <c r="M22" s="59" t="str">
        <f>IF(AND($B$22="M",L22="WA"),"M",IF(AND($B$22="M",L22="EXC"),"M",IF(AND($B$22="F",L22="WA"),"F",IF(AND($B$22="F",L22="EXC"),"F","-"))))</f>
        <v>-</v>
      </c>
      <c r="N22" s="60" t="str">
        <f t="shared" si="4"/>
        <v/>
      </c>
      <c r="O22" s="69"/>
      <c r="P22" s="59" t="str">
        <f>IF(AND($B$22="M",O22="WA"),"M",IF(AND($B$22="M",O22="EXC"),"M",IF(AND($B$22="F",O22="WA"),"F",IF(AND($B$22="F",O22="EXC"),"F","-"))))</f>
        <v>-</v>
      </c>
      <c r="Q22" s="60" t="str">
        <f t="shared" si="5"/>
        <v/>
      </c>
      <c r="R22" s="69"/>
      <c r="S22" s="59" t="str">
        <f>IF(AND($B$22="M",R22="WA"),"M",IF(AND($B$22="M",R22="EXC"),"M",IF(AND($B$22="F",R22="WA"),"F",IF(AND($B$22="F",R22="EXC"),"F","-"))))</f>
        <v>-</v>
      </c>
      <c r="T22" s="60" t="str">
        <f t="shared" si="6"/>
        <v/>
      </c>
      <c r="U22" s="61" t="str">
        <f t="shared" si="7"/>
        <v/>
      </c>
      <c r="V22" s="62"/>
      <c r="W22" s="47" t="str">
        <f>IF(AND($B$22="M",V22="WA"),"M",IF(AND($B$22="M",V22="EXC"),"M",IF(AND($B$22="F",V22="WA"),"F",IF(AND($B$22="F",V22="EXC"),"F","-"))))</f>
        <v>-</v>
      </c>
      <c r="X22" s="48"/>
      <c r="Y22" s="49"/>
      <c r="Z22" s="48"/>
      <c r="AA22" s="70"/>
      <c r="AB22" s="59" t="str">
        <f>IF(AND($B$22="M",AA22="WA"),"M",IF(AND($B$22="M",AA22="EXC"),"M",IF(AND($B$22="F",AA22="WA"),"F",IF(AND($B$22="F",AA22="EXC"),"F","-"))))</f>
        <v>-</v>
      </c>
      <c r="AC22" s="64" t="str">
        <f t="shared" si="8"/>
        <v/>
      </c>
      <c r="AD22" s="69"/>
      <c r="AE22" s="59" t="str">
        <f>IF(AND($B$22="M",AD22="WA"),"M",IF(AND($B$22="M",AD22="EXC"),"M",IF(AND($B$22="F",AD22="WA"),"F",IF(AND($B$22="F",AD22="EXC"),"F","-"))))</f>
        <v>-</v>
      </c>
      <c r="AF22" s="64" t="str">
        <f t="shared" si="9"/>
        <v/>
      </c>
      <c r="AG22" s="69"/>
      <c r="AH22" s="59" t="str">
        <f>IF(AND($B$22="M",AG22="WA"),"M",IF(AND($B$22="M",AG22="EXC"),"M",IF(AND($B$22="F",AG22="WA"),"F",IF(AND($B$22="F",AG22="EXC"),"F","-"))))</f>
        <v>-</v>
      </c>
      <c r="AI22" s="64" t="str">
        <f t="shared" si="10"/>
        <v/>
      </c>
      <c r="AJ22" s="69"/>
      <c r="AK22" s="59" t="str">
        <f>IF(AND($B$22="M",AJ22="WA"),"M",IF(AND($B$22="M",AJ22="EXC"),"M",IF(AND($B$22="F",AJ22="WA"),"F",IF(AND($B$22="F",AJ22="EXC"),"F","-"))))</f>
        <v>-</v>
      </c>
      <c r="AL22" s="64" t="str">
        <f t="shared" si="11"/>
        <v/>
      </c>
      <c r="AM22" s="69"/>
      <c r="AN22" s="59" t="str">
        <f>IF(AND($B$22="M",AM22="WA"),"M",IF(AND($B$22="M",AM22="EXC"),"M",IF(AND($B$22="F",AM22="WA"),"F",IF(AND($B$22="F",AM22="EXC"),"F","-"))))</f>
        <v>-</v>
      </c>
      <c r="AO22" s="61" t="str">
        <f t="shared" si="12"/>
        <v/>
      </c>
      <c r="AP22" s="69"/>
      <c r="AQ22" s="59" t="str">
        <f>IF(AND($B$22="M",AP22="WA"),"M",IF(AND($B$22="M",AP22="EXC"),"M",IF(AND($B$22="F",AP22="WA"),"F",IF(AND($B$22="F",AP22="EXC"),"F","-"))))</f>
        <v>-</v>
      </c>
      <c r="AR22" s="61" t="str">
        <f t="shared" si="13"/>
        <v/>
      </c>
      <c r="AS22" s="61" t="str">
        <f t="shared" si="14"/>
        <v/>
      </c>
      <c r="AT22" s="65"/>
      <c r="AU22" s="47" t="str">
        <f>IF(AND($B$22="M",AT22="WA"),"M",IF(AND($B$22="M",AT22="EXC"),"M",IF(AND($B$22="F",AT22="WA"),"F",IF(AND($B$22="F",AT22="EXC"),"F","-"))))</f>
        <v>-</v>
      </c>
      <c r="AV22" s="68"/>
      <c r="AW22" s="66"/>
      <c r="AX22" s="48"/>
      <c r="AY22" s="70"/>
      <c r="AZ22" s="59" t="str">
        <f>IF(AND($B$22="M",AY22="WA"),"M",IF(AND($B$22="M",AY22="EXC"),"M",IF(AND($B$22="F",AY22="WA"),"F",IF(AND($B$22="F",AY22="EXC"),"F","-"))))</f>
        <v>-</v>
      </c>
      <c r="BA22" s="64" t="str">
        <f t="shared" si="15"/>
        <v/>
      </c>
      <c r="BB22" s="69"/>
      <c r="BC22" s="59" t="str">
        <f>IF(AND($B$22="M",BB22="WA"),"M",IF(AND($B$22="M",BB22="EXC"),"M",IF(AND($B$22="F",BB22="WA"),"F",IF(AND($B$22="F",BB22="EXC"),"F","-"))))</f>
        <v>-</v>
      </c>
      <c r="BD22" s="64" t="str">
        <f t="shared" si="16"/>
        <v/>
      </c>
      <c r="BE22" s="69"/>
      <c r="BF22" s="59" t="str">
        <f>IF(AND($B$22="M",BE22="WA"),"M",IF(AND($B$22="M",BE22="EXC"),"M",IF(AND($B$22="F",BE22="WA"),"F",IF(AND($B$22="F",BE22="EXC"),"F","-"))))</f>
        <v>-</v>
      </c>
      <c r="BG22" s="64" t="str">
        <f t="shared" si="17"/>
        <v/>
      </c>
      <c r="BH22" s="69"/>
      <c r="BI22" s="59" t="str">
        <f>IF(AND($B$22="M",BH22="WA"),"M",IF(AND($B$22="M",BH22="EXC"),"M",IF(AND($B$22="F",BH22="WA"),"F",IF(AND($B$22="F",BH22="EXC"),"F","-"))))</f>
        <v>-</v>
      </c>
      <c r="BJ22" s="64" t="str">
        <f t="shared" si="18"/>
        <v/>
      </c>
      <c r="BK22" s="69"/>
      <c r="BL22" s="59" t="str">
        <f>IF(AND($B$22="M",BK22="WA"),"M",IF(AND($B$22="M",BK22="EXC"),"M",IF(AND($B$22="F",BK22="WA"),"F",IF(AND($B$22="F",BK22="EXC"),"F","-"))))</f>
        <v>-</v>
      </c>
      <c r="BM22" s="61" t="str">
        <f t="shared" si="19"/>
        <v/>
      </c>
      <c r="BN22" s="69"/>
      <c r="BO22" s="59" t="str">
        <f>IF(AND($B$22="M",BN22="WA"),"M",IF(AND($B$22="M",BN22="EXC"),"M",IF(AND($B$22="F",BN22="WA"),"F",IF(AND($B$22="F",BN22="EXC"),"F","-"))))</f>
        <v>-</v>
      </c>
      <c r="BP22" s="61" t="str">
        <f t="shared" si="20"/>
        <v/>
      </c>
      <c r="BQ22" s="61" t="str">
        <f t="shared" si="21"/>
        <v/>
      </c>
      <c r="BR22" s="65"/>
      <c r="BS22" s="47" t="str">
        <f>IF(AND($B$22="M",BR22="WA"),"M",IF(AND($B$22="M",BR22="EXC"),"M",IF(AND($B$22="F",BR22="WA"),"F",IF(AND($B$22="F",BR22="EXC"),"F","-"))))</f>
        <v>-</v>
      </c>
      <c r="BT22" s="68"/>
      <c r="BU22" s="66"/>
      <c r="BV22" s="48"/>
      <c r="BW22" s="70"/>
      <c r="BX22" s="59" t="str">
        <f>IF(AND($B$22="M",BW22="WA"),"M",IF(AND($B$22="M",BW22="EXC"),"M",IF(AND($B$22="F",BW22="WA"),"F",IF(AND($B$22="F",BW22="EXC"),"F","-"))))</f>
        <v>-</v>
      </c>
      <c r="BY22" s="64" t="str">
        <f t="shared" si="22"/>
        <v/>
      </c>
      <c r="BZ22" s="69"/>
      <c r="CA22" s="59" t="str">
        <f>IF(AND($B$22="M",BZ22="WA"),"M",IF(AND($B$22="M",BZ22="EXC"),"M",IF(AND($B$22="F",BZ22="WA"),"F",IF(AND($B$22="F",BZ22="EXC"),"F","-"))))</f>
        <v>-</v>
      </c>
      <c r="CB22" s="64" t="str">
        <f t="shared" si="23"/>
        <v/>
      </c>
      <c r="CC22" s="69"/>
      <c r="CD22" s="59" t="str">
        <f>IF(AND($B$22="M",CC22="WA"),"M",IF(AND($B$22="M",CC22="EXC"),"M",IF(AND($B$22="F",CC22="WA"),"F",IF(AND($B$22="F",CC22="EXC"),"F","-"))))</f>
        <v>-</v>
      </c>
      <c r="CE22" s="64" t="str">
        <f t="shared" si="24"/>
        <v/>
      </c>
      <c r="CF22" s="69"/>
      <c r="CG22" s="59" t="str">
        <f>IF(AND($B$22="M",CF22="WA"),"M",IF(AND($B$22="M",CF22="EXC"),"M",IF(AND($B$22="F",CF22="WA"),"F",IF(AND($B$22="F",CF22="EXC"),"F","-"))))</f>
        <v>-</v>
      </c>
      <c r="CH22" s="64" t="str">
        <f t="shared" si="25"/>
        <v/>
      </c>
      <c r="CI22" s="69"/>
      <c r="CJ22" s="59" t="str">
        <f>IF(AND($B$22="M",CI22="WA"),"M",IF(AND($B$22="M",CI22="EXC"),"M",IF(AND($B$22="F",CI22="WA"),"F",IF(AND($B$22="F",CI22="EXC"),"F","-"))))</f>
        <v>-</v>
      </c>
      <c r="CK22" s="61" t="str">
        <f t="shared" si="26"/>
        <v/>
      </c>
      <c r="CL22" s="69"/>
      <c r="CM22" s="59" t="str">
        <f>IF(AND($B$22="M",CL22="WA"),"M",IF(AND($B$22="M",CL22="EXC"),"M",IF(AND($B$22="F",CL22="WA"),"F",IF(AND($B$22="F",CL22="EXC"),"F","-"))))</f>
        <v>-</v>
      </c>
      <c r="CN22" s="61" t="str">
        <f t="shared" si="27"/>
        <v/>
      </c>
      <c r="CO22" s="61" t="str">
        <f t="shared" si="28"/>
        <v/>
      </c>
      <c r="CP22" s="65"/>
      <c r="CQ22" s="47" t="str">
        <f>IF(AND($B$22="M",CP22="WA"),"M",IF(AND($B$22="M",CP22="EXC"),"M",IF(AND($B$22="F",CP22="WA"),"F",IF(AND($B$22="F",CP22="EXC"),"F","-"))))</f>
        <v>-</v>
      </c>
      <c r="CR22" s="68"/>
      <c r="CS22" s="66"/>
      <c r="CT22" s="48"/>
      <c r="CU22" s="70"/>
      <c r="CV22" s="59" t="str">
        <f>IF(AND($B$22="M",CU22="WA"),"M",IF(AND($B$22="M",CU22="EXC"),"M",IF(AND($B$22="F",CU22="WA"),"F",IF(AND($B$22="F",CU22="EXC"),"F","-"))))</f>
        <v>-</v>
      </c>
      <c r="CW22" s="64" t="str">
        <f t="shared" si="29"/>
        <v/>
      </c>
      <c r="CX22" s="69"/>
      <c r="CY22" s="59" t="str">
        <f>IF(AND($B$22="M",CX22="WA"),"M",IF(AND($B$22="M",CX22="EXC"),"M",IF(AND($B$22="F",CX22="WA"),"F",IF(AND($B$22="F",CX22="EXC"),"F","-"))))</f>
        <v>-</v>
      </c>
      <c r="CZ22" s="64" t="str">
        <f t="shared" si="30"/>
        <v/>
      </c>
      <c r="DA22" s="69"/>
      <c r="DB22" s="59" t="str">
        <f>IF(AND($B$22="M",DA22="WA"),"M",IF(AND($B$22="M",DA22="EXC"),"M",IF(AND($B$22="F",DA22="WA"),"F",IF(AND($B$22="F",DA22="EXC"),"F","-"))))</f>
        <v>-</v>
      </c>
      <c r="DC22" s="64" t="str">
        <f t="shared" si="31"/>
        <v/>
      </c>
      <c r="DD22" s="69"/>
      <c r="DE22" s="59" t="str">
        <f>IF(AND($B$22="M",DD22="WA"),"M",IF(AND($B$22="M",DD22="EXC"),"M",IF(AND($B$22="F",DD22="WA"),"F",IF(AND($B$22="F",DD22="EXC"),"F","-"))))</f>
        <v>-</v>
      </c>
      <c r="DF22" s="64" t="str">
        <f t="shared" si="32"/>
        <v/>
      </c>
      <c r="DG22" s="69"/>
      <c r="DH22" s="59" t="str">
        <f>IF(AND($B$22="M",DG22="WA"),"M",IF(AND($B$22="M",DG22="EXC"),"M",IF(AND($B$22="F",DG22="WA"),"F",IF(AND($B$22="F",DG22="EXC"),"F","-"))))</f>
        <v>-</v>
      </c>
      <c r="DI22" s="61" t="str">
        <f t="shared" si="33"/>
        <v/>
      </c>
      <c r="DJ22" s="69"/>
      <c r="DK22" s="59" t="str">
        <f>IF(AND($B$22="M",DJ22="WA"),"M",IF(AND($B$22="M",DJ22="EXC"),"M",IF(AND($B$22="F",DJ22="WA"),"F",IF(AND($B$22="F",DJ22="EXC"),"F","-"))))</f>
        <v>-</v>
      </c>
      <c r="DL22" s="61" t="str">
        <f t="shared" si="34"/>
        <v/>
      </c>
      <c r="DM22" s="61" t="str">
        <f t="shared" si="35"/>
        <v/>
      </c>
      <c r="DN22" s="65"/>
      <c r="DO22" s="47" t="str">
        <f>IF(AND($B$22="M",DN22="WA"),"M",IF(AND($B$22="M",DN22="EXC"),"M",IF(AND($B$22="F",DN22="WA"),"F",IF(AND($B$22="F",DN22="EXC"),"F","-"))))</f>
        <v>-</v>
      </c>
      <c r="DP22" s="68"/>
      <c r="DQ22" s="66"/>
      <c r="DR22" s="48"/>
      <c r="DS22" s="70"/>
      <c r="DT22" s="59" t="str">
        <f>IF(AND($B$22="M",DS22="WA"),"M",IF(AND($B$22="M",DS22="EXC"),"M",IF(AND($B$22="F",DS22="WA"),"F",IF(AND($B$22="F",DS22="EXC"),"F","-"))))</f>
        <v>-</v>
      </c>
      <c r="DU22" s="64" t="str">
        <f t="shared" si="36"/>
        <v/>
      </c>
      <c r="DV22" s="69"/>
      <c r="DW22" s="59" t="str">
        <f>IF(AND($B$22="M",DV22="WA"),"M",IF(AND($B$22="M",DV22="EXC"),"M",IF(AND($B$22="F",DV22="WA"),"F",IF(AND($B$22="F",DV22="EXC"),"F","-"))))</f>
        <v>-</v>
      </c>
      <c r="DX22" s="64" t="str">
        <f t="shared" si="37"/>
        <v/>
      </c>
      <c r="DY22" s="69"/>
      <c r="DZ22" s="59" t="str">
        <f>IF(AND($B$22="M",DY22="WA"),"M",IF(AND($B$22="M",DY22="EXC"),"M",IF(AND($B$22="F",DY22="WA"),"F",IF(AND($B$22="F",DY22="EXC"),"F","-"))))</f>
        <v>-</v>
      </c>
      <c r="EA22" s="64" t="str">
        <f t="shared" si="38"/>
        <v/>
      </c>
      <c r="EB22" s="69"/>
      <c r="EC22" s="59" t="str">
        <f>IF(AND($B$22="M",EB22="WA"),"M",IF(AND($B$22="M",EB22="EXC"),"M",IF(AND($B$22="F",EB22="WA"),"F",IF(AND($B$22="F",EB22="EXC"),"F","-"))))</f>
        <v>-</v>
      </c>
      <c r="ED22" s="64" t="str">
        <f t="shared" si="39"/>
        <v/>
      </c>
      <c r="EE22" s="69"/>
      <c r="EF22" s="59" t="str">
        <f>IF(AND($B$22="M",EE22="WA"),"M",IF(AND($B$22="M",EE22="EXC"),"M",IF(AND($B$22="F",EE22="WA"),"F",IF(AND($B$22="F",EE22="EXC"),"F","-"))))</f>
        <v>-</v>
      </c>
      <c r="EG22" s="61" t="str">
        <f t="shared" si="40"/>
        <v/>
      </c>
      <c r="EH22" s="69"/>
      <c r="EI22" s="59" t="str">
        <f>IF(AND($B$22="M",EH22="WA"),"M",IF(AND($B$22="M",EH22="EXC"),"M",IF(AND($B$22="F",EH22="WA"),"F",IF(AND($B$22="F",EH22="EXC"),"F","-"))))</f>
        <v>-</v>
      </c>
      <c r="EJ22" s="61" t="str">
        <f t="shared" si="41"/>
        <v/>
      </c>
      <c r="EK22" s="61" t="str">
        <f t="shared" si="42"/>
        <v/>
      </c>
      <c r="EL22" s="65"/>
      <c r="EM22" s="47" t="str">
        <f>IF(AND($B$22="M",EL22="WA"),"M",IF(AND($B$22="M",EL22="EXC"),"M",IF(AND($B$22="F",EL22="WA"),"F",IF(AND($B$22="F",EL22="EXC"),"F","-"))))</f>
        <v>-</v>
      </c>
      <c r="EN22" s="68"/>
      <c r="EO22" s="66"/>
      <c r="EP22" s="48"/>
      <c r="EQ22" s="70"/>
      <c r="ER22" s="59" t="str">
        <f>IF(AND($B$22="M",EQ22="WA"),"M",IF(AND($B$22="M",EQ22="EXC"),"M",IF(AND($B$22="F",EQ22="WA"),"F",IF(AND($B$22="F",EQ22="EXC"),"F","-"))))</f>
        <v>-</v>
      </c>
      <c r="ES22" s="64" t="str">
        <f t="shared" si="43"/>
        <v/>
      </c>
      <c r="ET22" s="69"/>
      <c r="EU22" s="59" t="str">
        <f>IF(AND($B$22="M",ET22="WA"),"M",IF(AND($B$22="M",ET22="EXC"),"M",IF(AND($B$22="F",ET22="WA"),"F",IF(AND($B$22="F",ET22="EXC"),"F","-"))))</f>
        <v>-</v>
      </c>
      <c r="EV22" s="64" t="str">
        <f t="shared" si="44"/>
        <v/>
      </c>
      <c r="EW22" s="69"/>
      <c r="EX22" s="59" t="str">
        <f>IF(AND($B$22="M",EW22="WA"),"M",IF(AND($B$22="M",EW22="EXC"),"M",IF(AND($B$22="F",EW22="WA"),"F",IF(AND($B$22="F",EW22="EXC"),"F","-"))))</f>
        <v>-</v>
      </c>
      <c r="EY22" s="64" t="str">
        <f t="shared" si="45"/>
        <v/>
      </c>
      <c r="EZ22" s="69"/>
      <c r="FA22" s="59" t="str">
        <f>IF(AND($B$22="M",EZ22="WA"),"M",IF(AND($B$22="M",EZ22="EXC"),"M",IF(AND($B$22="F",EZ22="WA"),"F",IF(AND($B$22="F",EZ22="EXC"),"F","-"))))</f>
        <v>-</v>
      </c>
      <c r="FB22" s="64" t="str">
        <f t="shared" si="46"/>
        <v/>
      </c>
      <c r="FC22" s="69"/>
      <c r="FD22" s="59" t="str">
        <f>IF(AND($B$22="M",FC22="WA"),"M",IF(AND($B$22="M",FC22="EXC"),"M",IF(AND($B$22="F",FC22="WA"),"F",IF(AND($B$22="F",FC22="EXC"),"F","-"))))</f>
        <v>-</v>
      </c>
      <c r="FE22" s="61" t="str">
        <f t="shared" si="47"/>
        <v/>
      </c>
      <c r="FF22" s="69"/>
      <c r="FG22" s="59" t="str">
        <f>IF(AND($B$22="M",FF22="WA"),"M",IF(AND($B$22="M",FF22="EXC"),"M",IF(AND($B$22="F",FF22="WA"),"F",IF(AND($B$22="F",FF22="EXC"),"F","-"))))</f>
        <v>-</v>
      </c>
      <c r="FH22" s="61" t="str">
        <f t="shared" si="48"/>
        <v/>
      </c>
      <c r="FI22" s="61" t="str">
        <f t="shared" si="49"/>
        <v/>
      </c>
      <c r="FJ22" s="65"/>
      <c r="FK22" s="47" t="str">
        <f>IF(AND($B$22="M",FJ22="WA"),"M",IF(AND($B$22="M",FJ22="EXC"),"M",IF(AND($B$22="F",FJ22="WA"),"F",IF(AND($B$22="F",FJ22="EXC"),"F","-"))))</f>
        <v>-</v>
      </c>
      <c r="FL22" s="68"/>
      <c r="FM22" s="66"/>
      <c r="FN22" s="48"/>
      <c r="FO22" s="70"/>
      <c r="FP22" s="59" t="str">
        <f>IF(AND($B$22="M",FO22="WA"),"M",IF(AND($B$22="M",FO22="EXC"),"M",IF(AND($B$22="F",FO22="WA"),"F",IF(AND($B$22="F",FO22="EXC"),"F","-"))))</f>
        <v>-</v>
      </c>
      <c r="FQ22" s="64" t="str">
        <f t="shared" si="50"/>
        <v/>
      </c>
      <c r="FR22" s="69"/>
      <c r="FS22" s="59" t="str">
        <f>IF(AND($B$22="M",FR22="WA"),"M",IF(AND($B$22="M",FR22="EXC"),"M",IF(AND($B$22="F",FR22="WA"),"F",IF(AND($B$22="F",FR22="EXC"),"F","-"))))</f>
        <v>-</v>
      </c>
      <c r="FT22" s="64" t="str">
        <f t="shared" si="51"/>
        <v/>
      </c>
      <c r="FU22" s="69"/>
      <c r="FV22" s="59" t="str">
        <f>IF(AND($B$22="M",FU22="WA"),"M",IF(AND($B$22="M",FU22="EXC"),"M",IF(AND($B$22="F",FU22="WA"),"F",IF(AND($B$22="F",FU22="EXC"),"F","-"))))</f>
        <v>-</v>
      </c>
      <c r="FW22" s="64" t="str">
        <f t="shared" si="52"/>
        <v/>
      </c>
      <c r="FX22" s="69"/>
      <c r="FY22" s="59" t="str">
        <f>IF(AND($B$22="M",FX22="WA"),"M",IF(AND($B$22="M",FX22="EXC"),"M",IF(AND($B$22="F",FX22="WA"),"F",IF(AND($B$22="F",FX22="EXC"),"F","-"))))</f>
        <v>-</v>
      </c>
      <c r="FZ22" s="64" t="str">
        <f t="shared" si="53"/>
        <v/>
      </c>
      <c r="GA22" s="69"/>
      <c r="GB22" s="59" t="str">
        <f>IF(AND($B$22="M",GA22="WA"),"M",IF(AND($B$22="M",GA22="EXC"),"M",IF(AND($B$22="F",GA22="WA"),"F",IF(AND($B$22="F",GA22="EXC"),"F","-"))))</f>
        <v>-</v>
      </c>
      <c r="GC22" s="61" t="str">
        <f t="shared" si="54"/>
        <v/>
      </c>
      <c r="GD22" s="69"/>
      <c r="GE22" s="59" t="str">
        <f>IF(AND($B$22="M",GD22="WA"),"M",IF(AND($B$22="M",GD22="EXC"),"M",IF(AND($B$22="F",GD22="WA"),"F",IF(AND($B$22="F",GD22="EXC"),"F","-"))))</f>
        <v>-</v>
      </c>
      <c r="GF22" s="61" t="str">
        <f t="shared" si="55"/>
        <v/>
      </c>
      <c r="GG22" s="61" t="str">
        <f t="shared" si="56"/>
        <v/>
      </c>
      <c r="GH22" s="65"/>
      <c r="GI22" s="47" t="str">
        <f>IF(AND($B$22="M",GH22="WA"),"M",IF(AND($B$22="M",GH22="EXC"),"M",IF(AND($B$22="F",GH22="WA"),"F",IF(AND($B$22="F",GH22="EXC"),"F","-"))))</f>
        <v>-</v>
      </c>
      <c r="GJ22" s="68"/>
      <c r="GK22" s="66"/>
      <c r="GL22" s="48"/>
      <c r="GM22" s="70"/>
      <c r="GN22" s="59" t="str">
        <f>IF(AND($B$22="M",GM22="WA"),"M",IF(AND($B$22="M",GM22="EXC"),"M",IF(AND($B$22="F",GM22="WA"),"F",IF(AND($B$22="F",GM22="EXC"),"F","-"))))</f>
        <v>-</v>
      </c>
      <c r="GO22" s="64" t="str">
        <f t="shared" si="57"/>
        <v/>
      </c>
      <c r="GP22" s="69"/>
      <c r="GQ22" s="59" t="str">
        <f>IF(AND($B$22="M",GP22="WA"),"M",IF(AND($B$22="M",GP22="EXC"),"M",IF(AND($B$22="F",GP22="WA"),"F",IF(AND($B$22="F",GP22="EXC"),"F","-"))))</f>
        <v>-</v>
      </c>
      <c r="GR22" s="64" t="str">
        <f t="shared" si="58"/>
        <v/>
      </c>
      <c r="GS22" s="69"/>
      <c r="GT22" s="59" t="str">
        <f>IF(AND($B$22="M",GS22="WA"),"M",IF(AND($B$22="M",GS22="EXC"),"M",IF(AND($B$22="F",GS22="WA"),"F",IF(AND($B$22="F",GS22="EXC"),"F","-"))))</f>
        <v>-</v>
      </c>
      <c r="GU22" s="64" t="str">
        <f t="shared" si="59"/>
        <v/>
      </c>
      <c r="GV22" s="61" t="str">
        <f t="shared" si="60"/>
        <v/>
      </c>
      <c r="GW22" s="65"/>
      <c r="GX22" s="47" t="str">
        <f>IF(AND($B$22="M",GW22="WA"),"M",IF(AND($B$22="M",GW22="EXC"),"M",IF(AND($B$22="F",GW22="WA"),"F",IF(AND($B$22="F",GW22="EXC"),"F","-"))))</f>
        <v>-</v>
      </c>
      <c r="GY22" s="68"/>
      <c r="GZ22" s="66"/>
      <c r="HA22" s="48"/>
      <c r="HB22" s="70"/>
      <c r="HC22" s="59" t="str">
        <f>IF(AND($B$22="M",HB22="WA"),"M",IF(AND($B$22="M",HB22="EXC"),"M",IF(AND($B$22="F",HB22="WA"),"F",IF(AND($B$22="F",HB22="EXC"),"F","-"))))</f>
        <v>-</v>
      </c>
      <c r="HD22" s="64" t="str">
        <f t="shared" si="61"/>
        <v/>
      </c>
      <c r="HE22" s="69"/>
      <c r="HF22" s="59" t="str">
        <f>IF(AND($B$22="M",HE22="WA"),"M",IF(AND($B$22="M",HE22="EXC"),"M",IF(AND($B$22="F",HE22="WA"),"F",IF(AND($B$22="F",HE22="EXC"),"F","-"))))</f>
        <v>-</v>
      </c>
      <c r="HG22" s="64" t="str">
        <f t="shared" si="62"/>
        <v/>
      </c>
      <c r="HH22" s="69"/>
      <c r="HI22" s="59" t="str">
        <f>IF(AND($B$22="M",HH22="WA"),"M",IF(AND($B$22="M",HH22="EXC"),"M",IF(AND($B$22="F",HH22="WA"),"F",IF(AND($B$22="F",HH22="EXC"),"F","-"))))</f>
        <v>-</v>
      </c>
      <c r="HJ22" s="64" t="str">
        <f t="shared" si="63"/>
        <v/>
      </c>
      <c r="HK22" s="61" t="str">
        <f t="shared" si="64"/>
        <v/>
      </c>
      <c r="HL22" s="65"/>
      <c r="HM22" s="47" t="str">
        <f>IF(AND($B$22="M",HL22="WA"),"M",IF(AND($B$22="M",HL22="EXC"),"M",IF(AND($B$22="F",HL22="WA"),"F",IF(AND($B$22="F",HL22="EXC"),"F","-"))))</f>
        <v>-</v>
      </c>
      <c r="HN22" s="13"/>
      <c r="HO22" s="14"/>
      <c r="HP22" s="15"/>
      <c r="HQ22" s="54"/>
      <c r="HR22" s="55" t="str">
        <f>IF(AND($B$22="M",HQ22="WA"),"M",IF(AND($B$22="M",HQ22="EXC"),"M",IF(AND($B$22="F",HQ22="WA"),"F",IF(AND($B$22="F",HQ22="EXC"),"F","-"))))</f>
        <v>-</v>
      </c>
      <c r="HS22" s="56" t="str">
        <f t="shared" si="65"/>
        <v/>
      </c>
      <c r="HT22" s="54"/>
      <c r="HU22" s="55" t="str">
        <f>IF(AND($B$22="M",HT22="WA"),"M",IF(AND($B$22="M",HT22="EXC"),"M",IF(AND($B$22="F",HT22="WA"),"F",IF(AND($B$22="F",HT22="EXC"),"F","-"))))</f>
        <v>-</v>
      </c>
      <c r="HV22" s="56" t="str">
        <f t="shared" si="66"/>
        <v/>
      </c>
      <c r="HW22" s="54"/>
      <c r="HX22" s="55" t="str">
        <f>IF(AND($B$22="M",HW22="WA"),"M",IF(AND($B$22="M",HW22="EXC"),"M",IF(AND($B$22="F",HW22="WA"),"F",IF(AND($B$22="F",HW22="EXC"),"F","-"))))</f>
        <v>-</v>
      </c>
      <c r="HY22" s="56" t="str">
        <f t="shared" si="67"/>
        <v/>
      </c>
      <c r="HZ22" s="54" t="str">
        <f t="shared" si="68"/>
        <v/>
      </c>
      <c r="IA22" s="67"/>
      <c r="IB22" s="55" t="str">
        <f>IF(AND($B$22="M",IA22="WA"),"M",IF(AND($B$22="M",IA22="EXC"),"M",IF(AND($B$22="F",IA22="WA"),"F",IF(AND($B$22="F",IA22="EXC"),"F","-"))))</f>
        <v>-</v>
      </c>
      <c r="IC22" s="17"/>
    </row>
    <row r="23">
      <c r="A23" s="40"/>
      <c r="B23" s="41"/>
      <c r="C23" s="58"/>
      <c r="D23" s="59" t="str">
        <f>IF(AND($B$23="M",C23="WA"),"M",IF(AND($B$23="M",C23="EXC"),"M",IF(AND($B$23="F",C23="WA"),"F",IF(AND($B$23="F",C23="EXC"),"F","-"))))</f>
        <v>-</v>
      </c>
      <c r="E23" s="60" t="str">
        <f t="shared" si="1"/>
        <v/>
      </c>
      <c r="F23" s="58"/>
      <c r="G23" s="59" t="str">
        <f>IF(AND($B$23="M",F23="WA"),"M",IF(AND($B$23="M",F23="EXC"),"M",IF(AND($B$23="F",F23="WA"),"F",IF(AND($B$23="F",F23="EXC"),"F","-"))))</f>
        <v>-</v>
      </c>
      <c r="H23" s="60" t="str">
        <f t="shared" si="2"/>
        <v/>
      </c>
      <c r="I23" s="58"/>
      <c r="J23" s="59" t="str">
        <f>IF(AND($B$23="M",I23="WA"),"M",IF(AND($B$23="M",I23="EXC"),"M",IF(AND($B$23="F",I23="WA"),"F",IF(AND($B$23="F",I23="EXC"),"F","-"))))</f>
        <v>-</v>
      </c>
      <c r="K23" s="60" t="str">
        <f t="shared" si="3"/>
        <v/>
      </c>
      <c r="L23" s="58"/>
      <c r="M23" s="59" t="str">
        <f>IF(AND($B$23="M",L23="WA"),"M",IF(AND($B$23="M",L23="EXC"),"M",IF(AND($B$23="F",L23="WA"),"F",IF(AND($B$23="F",L23="EXC"),"F","-"))))</f>
        <v>-</v>
      </c>
      <c r="N23" s="60" t="str">
        <f t="shared" si="4"/>
        <v/>
      </c>
      <c r="O23" s="58"/>
      <c r="P23" s="59" t="str">
        <f>IF(AND($B$23="M",O23="WA"),"M",IF(AND($B$23="M",O23="EXC"),"M",IF(AND($B$23="F",O23="WA"),"F",IF(AND($B$23="F",O23="EXC"),"F","-"))))</f>
        <v>-</v>
      </c>
      <c r="Q23" s="60" t="str">
        <f t="shared" si="5"/>
        <v/>
      </c>
      <c r="R23" s="58"/>
      <c r="S23" s="59" t="str">
        <f>IF(AND($B$23="M",R23="WA"),"M",IF(AND($B$23="M",R23="EXC"),"M",IF(AND($B$23="F",R23="WA"),"F",IF(AND($B$23="F",R23="EXC"),"F","-"))))</f>
        <v>-</v>
      </c>
      <c r="T23" s="60" t="str">
        <f t="shared" si="6"/>
        <v/>
      </c>
      <c r="U23" s="61" t="str">
        <f t="shared" si="7"/>
        <v/>
      </c>
      <c r="V23" s="62"/>
      <c r="W23" s="47" t="str">
        <f>IF(AND($B$23="M",V23="WA"),"M",IF(AND($B$23="M",V23="EXC"),"M",IF(AND($B$23="F",V23="WA"),"F",IF(AND($B$23="F",V23="EXC"),"F","-"))))</f>
        <v>-</v>
      </c>
      <c r="X23" s="48"/>
      <c r="Y23" s="49"/>
      <c r="Z23" s="48"/>
      <c r="AA23" s="63"/>
      <c r="AB23" s="59" t="str">
        <f>IF(AND($B$23="M",AA23="WA"),"M",IF(AND($B$23="M",AA23="EXC"),"M",IF(AND($B$23="F",AA23="WA"),"F",IF(AND($B$23="F",AA23="EXC"),"F","-"))))</f>
        <v>-</v>
      </c>
      <c r="AC23" s="64" t="str">
        <f t="shared" si="8"/>
        <v/>
      </c>
      <c r="AD23" s="58"/>
      <c r="AE23" s="59" t="str">
        <f>IF(AND($B$23="M",AD23="WA"),"M",IF(AND($B$23="M",AD23="EXC"),"M",IF(AND($B$23="F",AD23="WA"),"F",IF(AND($B$23="F",AD23="EXC"),"F","-"))))</f>
        <v>-</v>
      </c>
      <c r="AF23" s="64" t="str">
        <f t="shared" si="9"/>
        <v/>
      </c>
      <c r="AG23" s="58"/>
      <c r="AH23" s="59" t="str">
        <f>IF(AND($B$23="M",AG23="WA"),"M",IF(AND($B$23="M",AG23="EXC"),"M",IF(AND($B$23="F",AG23="WA"),"F",IF(AND($B$23="F",AG23="EXC"),"F","-"))))</f>
        <v>-</v>
      </c>
      <c r="AI23" s="64" t="str">
        <f t="shared" si="10"/>
        <v/>
      </c>
      <c r="AJ23" s="58"/>
      <c r="AK23" s="59" t="str">
        <f>IF(AND($B$23="M",AJ23="WA"),"M",IF(AND($B$23="M",AJ23="EXC"),"M",IF(AND($B$23="F",AJ23="WA"),"F",IF(AND($B$23="F",AJ23="EXC"),"F","-"))))</f>
        <v>-</v>
      </c>
      <c r="AL23" s="64" t="str">
        <f t="shared" si="11"/>
        <v/>
      </c>
      <c r="AM23" s="58"/>
      <c r="AN23" s="59" t="str">
        <f>IF(AND($B$23="M",AM23="WA"),"M",IF(AND($B$23="M",AM23="EXC"),"M",IF(AND($B$23="F",AM23="WA"),"F",IF(AND($B$23="F",AM23="EXC"),"F","-"))))</f>
        <v>-</v>
      </c>
      <c r="AO23" s="61" t="str">
        <f t="shared" si="12"/>
        <v/>
      </c>
      <c r="AP23" s="58"/>
      <c r="AQ23" s="59" t="str">
        <f>IF(AND($B$23="M",AP23="WA"),"M",IF(AND($B$23="M",AP23="EXC"),"M",IF(AND($B$23="F",AP23="WA"),"F",IF(AND($B$23="F",AP23="EXC"),"F","-"))))</f>
        <v>-</v>
      </c>
      <c r="AR23" s="61" t="str">
        <f t="shared" si="13"/>
        <v/>
      </c>
      <c r="AS23" s="61" t="str">
        <f t="shared" si="14"/>
        <v/>
      </c>
      <c r="AT23" s="65"/>
      <c r="AU23" s="47" t="str">
        <f>IF(AND($B$23="M",AT23="WA"),"M",IF(AND($B$23="M",AT23="EXC"),"M",IF(AND($B$23="F",AT23="WA"),"F",IF(AND($B$23="F",AT23="EXC"),"F","-"))))</f>
        <v>-</v>
      </c>
      <c r="AV23" s="68"/>
      <c r="AW23" s="66"/>
      <c r="AX23" s="48"/>
      <c r="AY23" s="63"/>
      <c r="AZ23" s="59" t="str">
        <f>IF(AND($B$23="M",AY23="WA"),"M",IF(AND($B$23="M",AY23="EXC"),"M",IF(AND($B$23="F",AY23="WA"),"F",IF(AND($B$23="F",AY23="EXC"),"F","-"))))</f>
        <v>-</v>
      </c>
      <c r="BA23" s="64" t="str">
        <f t="shared" si="15"/>
        <v/>
      </c>
      <c r="BB23" s="58"/>
      <c r="BC23" s="59" t="str">
        <f>IF(AND($B$23="M",BB23="WA"),"M",IF(AND($B$23="M",BB23="EXC"),"M",IF(AND($B$23="F",BB23="WA"),"F",IF(AND($B$23="F",BB23="EXC"),"F","-"))))</f>
        <v>-</v>
      </c>
      <c r="BD23" s="64" t="str">
        <f t="shared" si="16"/>
        <v/>
      </c>
      <c r="BE23" s="58"/>
      <c r="BF23" s="59" t="str">
        <f>IF(AND($B$23="M",BE23="WA"),"M",IF(AND($B$23="M",BE23="EXC"),"M",IF(AND($B$23="F",BE23="WA"),"F",IF(AND($B$23="F",BE23="EXC"),"F","-"))))</f>
        <v>-</v>
      </c>
      <c r="BG23" s="64" t="str">
        <f t="shared" si="17"/>
        <v/>
      </c>
      <c r="BH23" s="58"/>
      <c r="BI23" s="59" t="str">
        <f>IF(AND($B$23="M",BH23="WA"),"M",IF(AND($B$23="M",BH23="EXC"),"M",IF(AND($B$23="F",BH23="WA"),"F",IF(AND($B$23="F",BH23="EXC"),"F","-"))))</f>
        <v>-</v>
      </c>
      <c r="BJ23" s="64" t="str">
        <f t="shared" si="18"/>
        <v/>
      </c>
      <c r="BK23" s="58"/>
      <c r="BL23" s="59" t="str">
        <f>IF(AND($B$23="M",BK23="WA"),"M",IF(AND($B$23="M",BK23="EXC"),"M",IF(AND($B$23="F",BK23="WA"),"F",IF(AND($B$23="F",BK23="EXC"),"F","-"))))</f>
        <v>-</v>
      </c>
      <c r="BM23" s="61" t="str">
        <f t="shared" si="19"/>
        <v/>
      </c>
      <c r="BN23" s="58"/>
      <c r="BO23" s="59" t="str">
        <f>IF(AND($B$23="M",BN23="WA"),"M",IF(AND($B$23="M",BN23="EXC"),"M",IF(AND($B$23="F",BN23="WA"),"F",IF(AND($B$23="F",BN23="EXC"),"F","-"))))</f>
        <v>-</v>
      </c>
      <c r="BP23" s="61" t="str">
        <f t="shared" si="20"/>
        <v/>
      </c>
      <c r="BQ23" s="61" t="str">
        <f t="shared" si="21"/>
        <v/>
      </c>
      <c r="BR23" s="65"/>
      <c r="BS23" s="47" t="str">
        <f>IF(AND($B$23="M",BR23="WA"),"M",IF(AND($B$23="M",BR23="EXC"),"M",IF(AND($B$23="F",BR23="WA"),"F",IF(AND($B$23="F",BR23="EXC"),"F","-"))))</f>
        <v>-</v>
      </c>
      <c r="BT23" s="68"/>
      <c r="BU23" s="66"/>
      <c r="BV23" s="48"/>
      <c r="BW23" s="63"/>
      <c r="BX23" s="59" t="str">
        <f>IF(AND($B$23="M",BW23="WA"),"M",IF(AND($B$23="M",BW23="EXC"),"M",IF(AND($B$23="F",BW23="WA"),"F",IF(AND($B$23="F",BW23="EXC"),"F","-"))))</f>
        <v>-</v>
      </c>
      <c r="BY23" s="64" t="str">
        <f t="shared" si="22"/>
        <v/>
      </c>
      <c r="BZ23" s="58"/>
      <c r="CA23" s="59" t="str">
        <f>IF(AND($B$23="M",BZ23="WA"),"M",IF(AND($B$23="M",BZ23="EXC"),"M",IF(AND($B$23="F",BZ23="WA"),"F",IF(AND($B$23="F",BZ23="EXC"),"F","-"))))</f>
        <v>-</v>
      </c>
      <c r="CB23" s="64" t="str">
        <f t="shared" si="23"/>
        <v/>
      </c>
      <c r="CC23" s="58"/>
      <c r="CD23" s="59" t="str">
        <f>IF(AND($B$23="M",CC23="WA"),"M",IF(AND($B$23="M",CC23="EXC"),"M",IF(AND($B$23="F",CC23="WA"),"F",IF(AND($B$23="F",CC23="EXC"),"F","-"))))</f>
        <v>-</v>
      </c>
      <c r="CE23" s="64" t="str">
        <f t="shared" si="24"/>
        <v/>
      </c>
      <c r="CF23" s="58"/>
      <c r="CG23" s="59" t="str">
        <f>IF(AND($B$23="M",CF23="WA"),"M",IF(AND($B$23="M",CF23="EXC"),"M",IF(AND($B$23="F",CF23="WA"),"F",IF(AND($B$23="F",CF23="EXC"),"F","-"))))</f>
        <v>-</v>
      </c>
      <c r="CH23" s="64" t="str">
        <f t="shared" si="25"/>
        <v/>
      </c>
      <c r="CI23" s="58"/>
      <c r="CJ23" s="59" t="str">
        <f>IF(AND($B$23="M",CI23="WA"),"M",IF(AND($B$23="M",CI23="EXC"),"M",IF(AND($B$23="F",CI23="WA"),"F",IF(AND($B$23="F",CI23="EXC"),"F","-"))))</f>
        <v>-</v>
      </c>
      <c r="CK23" s="61" t="str">
        <f t="shared" si="26"/>
        <v/>
      </c>
      <c r="CL23" s="58"/>
      <c r="CM23" s="59" t="str">
        <f>IF(AND($B$23="M",CL23="WA"),"M",IF(AND($B$23="M",CL23="EXC"),"M",IF(AND($B$23="F",CL23="WA"),"F",IF(AND($B$23="F",CL23="EXC"),"F","-"))))</f>
        <v>-</v>
      </c>
      <c r="CN23" s="61" t="str">
        <f t="shared" si="27"/>
        <v/>
      </c>
      <c r="CO23" s="61" t="str">
        <f t="shared" si="28"/>
        <v/>
      </c>
      <c r="CP23" s="65"/>
      <c r="CQ23" s="47" t="str">
        <f>IF(AND($B$23="M",CP23="WA"),"M",IF(AND($B$23="M",CP23="EXC"),"M",IF(AND($B$23="F",CP23="WA"),"F",IF(AND($B$23="F",CP23="EXC"),"F","-"))))</f>
        <v>-</v>
      </c>
      <c r="CR23" s="68"/>
      <c r="CS23" s="66"/>
      <c r="CT23" s="48"/>
      <c r="CU23" s="63"/>
      <c r="CV23" s="59" t="str">
        <f>IF(AND($B$23="M",CU23="WA"),"M",IF(AND($B$23="M",CU23="EXC"),"M",IF(AND($B$23="F",CU23="WA"),"F",IF(AND($B$23="F",CU23="EXC"),"F","-"))))</f>
        <v>-</v>
      </c>
      <c r="CW23" s="64" t="str">
        <f t="shared" si="29"/>
        <v/>
      </c>
      <c r="CX23" s="58"/>
      <c r="CY23" s="59" t="str">
        <f>IF(AND($B$23="M",CX23="WA"),"M",IF(AND($B$23="M",CX23="EXC"),"M",IF(AND($B$23="F",CX23="WA"),"F",IF(AND($B$23="F",CX23="EXC"),"F","-"))))</f>
        <v>-</v>
      </c>
      <c r="CZ23" s="64" t="str">
        <f t="shared" si="30"/>
        <v/>
      </c>
      <c r="DA23" s="58"/>
      <c r="DB23" s="59" t="str">
        <f>IF(AND($B$23="M",DA23="WA"),"M",IF(AND($B$23="M",DA23="EXC"),"M",IF(AND($B$23="F",DA23="WA"),"F",IF(AND($B$23="F",DA23="EXC"),"F","-"))))</f>
        <v>-</v>
      </c>
      <c r="DC23" s="64" t="str">
        <f t="shared" si="31"/>
        <v/>
      </c>
      <c r="DD23" s="58"/>
      <c r="DE23" s="59" t="str">
        <f>IF(AND($B$23="M",DD23="WA"),"M",IF(AND($B$23="M",DD23="EXC"),"M",IF(AND($B$23="F",DD23="WA"),"F",IF(AND($B$23="F",DD23="EXC"),"F","-"))))</f>
        <v>-</v>
      </c>
      <c r="DF23" s="64" t="str">
        <f t="shared" si="32"/>
        <v/>
      </c>
      <c r="DG23" s="58"/>
      <c r="DH23" s="59" t="str">
        <f>IF(AND($B$23="M",DG23="WA"),"M",IF(AND($B$23="M",DG23="EXC"),"M",IF(AND($B$23="F",DG23="WA"),"F",IF(AND($B$23="F",DG23="EXC"),"F","-"))))</f>
        <v>-</v>
      </c>
      <c r="DI23" s="61" t="str">
        <f t="shared" si="33"/>
        <v/>
      </c>
      <c r="DJ23" s="58"/>
      <c r="DK23" s="59" t="str">
        <f>IF(AND($B$23="M",DJ23="WA"),"M",IF(AND($B$23="M",DJ23="EXC"),"M",IF(AND($B$23="F",DJ23="WA"),"F",IF(AND($B$23="F",DJ23="EXC"),"F","-"))))</f>
        <v>-</v>
      </c>
      <c r="DL23" s="61" t="str">
        <f t="shared" si="34"/>
        <v/>
      </c>
      <c r="DM23" s="61" t="str">
        <f t="shared" si="35"/>
        <v/>
      </c>
      <c r="DN23" s="65"/>
      <c r="DO23" s="47" t="str">
        <f>IF(AND($B$23="M",DN23="WA"),"M",IF(AND($B$23="M",DN23="EXC"),"M",IF(AND($B$23="F",DN23="WA"),"F",IF(AND($B$23="F",DN23="EXC"),"F","-"))))</f>
        <v>-</v>
      </c>
      <c r="DP23" s="68"/>
      <c r="DQ23" s="66"/>
      <c r="DR23" s="48"/>
      <c r="DS23" s="63"/>
      <c r="DT23" s="59" t="str">
        <f>IF(AND($B$23="M",DS23="WA"),"M",IF(AND($B$23="M",DS23="EXC"),"M",IF(AND($B$23="F",DS23="WA"),"F",IF(AND($B$23="F",DS23="EXC"),"F","-"))))</f>
        <v>-</v>
      </c>
      <c r="DU23" s="64" t="str">
        <f t="shared" si="36"/>
        <v/>
      </c>
      <c r="DV23" s="58"/>
      <c r="DW23" s="59" t="str">
        <f>IF(AND($B$23="M",DV23="WA"),"M",IF(AND($B$23="M",DV23="EXC"),"M",IF(AND($B$23="F",DV23="WA"),"F",IF(AND($B$23="F",DV23="EXC"),"F","-"))))</f>
        <v>-</v>
      </c>
      <c r="DX23" s="64" t="str">
        <f t="shared" si="37"/>
        <v/>
      </c>
      <c r="DY23" s="58"/>
      <c r="DZ23" s="59" t="str">
        <f>IF(AND($B$23="M",DY23="WA"),"M",IF(AND($B$23="M",DY23="EXC"),"M",IF(AND($B$23="F",DY23="WA"),"F",IF(AND($B$23="F",DY23="EXC"),"F","-"))))</f>
        <v>-</v>
      </c>
      <c r="EA23" s="64" t="str">
        <f t="shared" si="38"/>
        <v/>
      </c>
      <c r="EB23" s="58"/>
      <c r="EC23" s="59" t="str">
        <f>IF(AND($B$23="M",EB23="WA"),"M",IF(AND($B$23="M",EB23="EXC"),"M",IF(AND($B$23="F",EB23="WA"),"F",IF(AND($B$23="F",EB23="EXC"),"F","-"))))</f>
        <v>-</v>
      </c>
      <c r="ED23" s="64" t="str">
        <f t="shared" si="39"/>
        <v/>
      </c>
      <c r="EE23" s="58"/>
      <c r="EF23" s="59" t="str">
        <f>IF(AND($B$23="M",EE23="WA"),"M",IF(AND($B$23="M",EE23="EXC"),"M",IF(AND($B$23="F",EE23="WA"),"F",IF(AND($B$23="F",EE23="EXC"),"F","-"))))</f>
        <v>-</v>
      </c>
      <c r="EG23" s="61" t="str">
        <f t="shared" si="40"/>
        <v/>
      </c>
      <c r="EH23" s="58"/>
      <c r="EI23" s="59" t="str">
        <f>IF(AND($B$23="M",EH23="WA"),"M",IF(AND($B$23="M",EH23="EXC"),"M",IF(AND($B$23="F",EH23="WA"),"F",IF(AND($B$23="F",EH23="EXC"),"F","-"))))</f>
        <v>-</v>
      </c>
      <c r="EJ23" s="61" t="str">
        <f t="shared" si="41"/>
        <v/>
      </c>
      <c r="EK23" s="61" t="str">
        <f t="shared" si="42"/>
        <v/>
      </c>
      <c r="EL23" s="65"/>
      <c r="EM23" s="47" t="str">
        <f>IF(AND($B$23="M",EL23="WA"),"M",IF(AND($B$23="M",EL23="EXC"),"M",IF(AND($B$23="F",EL23="WA"),"F",IF(AND($B$23="F",EL23="EXC"),"F","-"))))</f>
        <v>-</v>
      </c>
      <c r="EN23" s="68"/>
      <c r="EO23" s="66"/>
      <c r="EP23" s="48"/>
      <c r="EQ23" s="63"/>
      <c r="ER23" s="59" t="str">
        <f>IF(AND($B$23="M",EQ23="WA"),"M",IF(AND($B$23="M",EQ23="EXC"),"M",IF(AND($B$23="F",EQ23="WA"),"F",IF(AND($B$23="F",EQ23="EXC"),"F","-"))))</f>
        <v>-</v>
      </c>
      <c r="ES23" s="64" t="str">
        <f t="shared" si="43"/>
        <v/>
      </c>
      <c r="ET23" s="58"/>
      <c r="EU23" s="59" t="str">
        <f>IF(AND($B$23="M",ET23="WA"),"M",IF(AND($B$23="M",ET23="EXC"),"M",IF(AND($B$23="F",ET23="WA"),"F",IF(AND($B$23="F",ET23="EXC"),"F","-"))))</f>
        <v>-</v>
      </c>
      <c r="EV23" s="64" t="str">
        <f t="shared" si="44"/>
        <v/>
      </c>
      <c r="EW23" s="58"/>
      <c r="EX23" s="59" t="str">
        <f>IF(AND($B$23="M",EW23="WA"),"M",IF(AND($B$23="M",EW23="EXC"),"M",IF(AND($B$23="F",EW23="WA"),"F",IF(AND($B$23="F",EW23="EXC"),"F","-"))))</f>
        <v>-</v>
      </c>
      <c r="EY23" s="64" t="str">
        <f t="shared" si="45"/>
        <v/>
      </c>
      <c r="EZ23" s="58"/>
      <c r="FA23" s="59" t="str">
        <f>IF(AND($B$23="M",EZ23="WA"),"M",IF(AND($B$23="M",EZ23="EXC"),"M",IF(AND($B$23="F",EZ23="WA"),"F",IF(AND($B$23="F",EZ23="EXC"),"F","-"))))</f>
        <v>-</v>
      </c>
      <c r="FB23" s="64" t="str">
        <f t="shared" si="46"/>
        <v/>
      </c>
      <c r="FC23" s="58"/>
      <c r="FD23" s="59" t="str">
        <f>IF(AND($B$23="M",FC23="WA"),"M",IF(AND($B$23="M",FC23="EXC"),"M",IF(AND($B$23="F",FC23="WA"),"F",IF(AND($B$23="F",FC23="EXC"),"F","-"))))</f>
        <v>-</v>
      </c>
      <c r="FE23" s="61" t="str">
        <f t="shared" si="47"/>
        <v/>
      </c>
      <c r="FF23" s="58"/>
      <c r="FG23" s="59" t="str">
        <f>IF(AND($B$23="M",FF23="WA"),"M",IF(AND($B$23="M",FF23="EXC"),"M",IF(AND($B$23="F",FF23="WA"),"F",IF(AND($B$23="F",FF23="EXC"),"F","-"))))</f>
        <v>-</v>
      </c>
      <c r="FH23" s="61" t="str">
        <f t="shared" si="48"/>
        <v/>
      </c>
      <c r="FI23" s="61" t="str">
        <f t="shared" si="49"/>
        <v/>
      </c>
      <c r="FJ23" s="65"/>
      <c r="FK23" s="47" t="str">
        <f>IF(AND($B$23="M",FJ23="WA"),"M",IF(AND($B$23="M",FJ23="EXC"),"M",IF(AND($B$23="F",FJ23="WA"),"F",IF(AND($B$23="F",FJ23="EXC"),"F","-"))))</f>
        <v>-</v>
      </c>
      <c r="FL23" s="68"/>
      <c r="FM23" s="66"/>
      <c r="FN23" s="48"/>
      <c r="FO23" s="63"/>
      <c r="FP23" s="59" t="str">
        <f>IF(AND($B$23="M",FO23="WA"),"M",IF(AND($B$23="M",FO23="EXC"),"M",IF(AND($B$23="F",FO23="WA"),"F",IF(AND($B$23="F",FO23="EXC"),"F","-"))))</f>
        <v>-</v>
      </c>
      <c r="FQ23" s="64" t="str">
        <f t="shared" si="50"/>
        <v/>
      </c>
      <c r="FR23" s="58"/>
      <c r="FS23" s="59" t="str">
        <f>IF(AND($B$23="M",FR23="WA"),"M",IF(AND($B$23="M",FR23="EXC"),"M",IF(AND($B$23="F",FR23="WA"),"F",IF(AND($B$23="F",FR23="EXC"),"F","-"))))</f>
        <v>-</v>
      </c>
      <c r="FT23" s="64" t="str">
        <f t="shared" si="51"/>
        <v/>
      </c>
      <c r="FU23" s="58"/>
      <c r="FV23" s="59" t="str">
        <f>IF(AND($B$23="M",FU23="WA"),"M",IF(AND($B$23="M",FU23="EXC"),"M",IF(AND($B$23="F",FU23="WA"),"F",IF(AND($B$23="F",FU23="EXC"),"F","-"))))</f>
        <v>-</v>
      </c>
      <c r="FW23" s="64" t="str">
        <f t="shared" si="52"/>
        <v/>
      </c>
      <c r="FX23" s="58"/>
      <c r="FY23" s="59" t="str">
        <f>IF(AND($B$23="M",FX23="WA"),"M",IF(AND($B$23="M",FX23="EXC"),"M",IF(AND($B$23="F",FX23="WA"),"F",IF(AND($B$23="F",FX23="EXC"),"F","-"))))</f>
        <v>-</v>
      </c>
      <c r="FZ23" s="64" t="str">
        <f t="shared" si="53"/>
        <v/>
      </c>
      <c r="GA23" s="58"/>
      <c r="GB23" s="59" t="str">
        <f>IF(AND($B$23="M",GA23="WA"),"M",IF(AND($B$23="M",GA23="EXC"),"M",IF(AND($B$23="F",GA23="WA"),"F",IF(AND($B$23="F",GA23="EXC"),"F","-"))))</f>
        <v>-</v>
      </c>
      <c r="GC23" s="61" t="str">
        <f t="shared" si="54"/>
        <v/>
      </c>
      <c r="GD23" s="58"/>
      <c r="GE23" s="59" t="str">
        <f>IF(AND($B$23="M",GD23="WA"),"M",IF(AND($B$23="M",GD23="EXC"),"M",IF(AND($B$23="F",GD23="WA"),"F",IF(AND($B$23="F",GD23="EXC"),"F","-"))))</f>
        <v>-</v>
      </c>
      <c r="GF23" s="61" t="str">
        <f t="shared" si="55"/>
        <v/>
      </c>
      <c r="GG23" s="61" t="str">
        <f t="shared" si="56"/>
        <v/>
      </c>
      <c r="GH23" s="65"/>
      <c r="GI23" s="47" t="str">
        <f>IF(AND($B$23="M",GH23="WA"),"M",IF(AND($B$23="M",GH23="EXC"),"M",IF(AND($B$23="F",GH23="WA"),"F",IF(AND($B$23="F",GH23="EXC"),"F","-"))))</f>
        <v>-</v>
      </c>
      <c r="GJ23" s="68"/>
      <c r="GK23" s="66"/>
      <c r="GL23" s="48"/>
      <c r="GM23" s="63"/>
      <c r="GN23" s="59" t="str">
        <f>IF(AND($B$23="M",GM23="WA"),"M",IF(AND($B$23="M",GM23="EXC"),"M",IF(AND($B$23="F",GM23="WA"),"F",IF(AND($B$23="F",GM23="EXC"),"F","-"))))</f>
        <v>-</v>
      </c>
      <c r="GO23" s="64" t="str">
        <f t="shared" si="57"/>
        <v/>
      </c>
      <c r="GP23" s="58"/>
      <c r="GQ23" s="59" t="str">
        <f>IF(AND($B$23="M",GP23="WA"),"M",IF(AND($B$23="M",GP23="EXC"),"M",IF(AND($B$23="F",GP23="WA"),"F",IF(AND($B$23="F",GP23="EXC"),"F","-"))))</f>
        <v>-</v>
      </c>
      <c r="GR23" s="64" t="str">
        <f t="shared" si="58"/>
        <v/>
      </c>
      <c r="GS23" s="58"/>
      <c r="GT23" s="59" t="str">
        <f>IF(AND($B$23="M",GS23="WA"),"M",IF(AND($B$23="M",GS23="EXC"),"M",IF(AND($B$23="F",GS23="WA"),"F",IF(AND($B$23="F",GS23="EXC"),"F","-"))))</f>
        <v>-</v>
      </c>
      <c r="GU23" s="64" t="str">
        <f t="shared" si="59"/>
        <v/>
      </c>
      <c r="GV23" s="61" t="str">
        <f t="shared" si="60"/>
        <v/>
      </c>
      <c r="GW23" s="65"/>
      <c r="GX23" s="47" t="str">
        <f>IF(AND($B$23="M",GW23="WA"),"M",IF(AND($B$23="M",GW23="EXC"),"M",IF(AND($B$23="F",GW23="WA"),"F",IF(AND($B$23="F",GW23="EXC"),"F","-"))))</f>
        <v>-</v>
      </c>
      <c r="GY23" s="68"/>
      <c r="GZ23" s="66"/>
      <c r="HA23" s="48"/>
      <c r="HB23" s="63"/>
      <c r="HC23" s="59" t="str">
        <f>IF(AND($B$23="M",HB23="WA"),"M",IF(AND($B$23="M",HB23="EXC"),"M",IF(AND($B$23="F",HB23="WA"),"F",IF(AND($B$23="F",HB23="EXC"),"F","-"))))</f>
        <v>-</v>
      </c>
      <c r="HD23" s="64" t="str">
        <f t="shared" si="61"/>
        <v/>
      </c>
      <c r="HE23" s="58"/>
      <c r="HF23" s="59" t="str">
        <f>IF(AND($B$23="M",HE23="WA"),"M",IF(AND($B$23="M",HE23="EXC"),"M",IF(AND($B$23="F",HE23="WA"),"F",IF(AND($B$23="F",HE23="EXC"),"F","-"))))</f>
        <v>-</v>
      </c>
      <c r="HG23" s="64" t="str">
        <f t="shared" si="62"/>
        <v/>
      </c>
      <c r="HH23" s="58"/>
      <c r="HI23" s="59" t="str">
        <f>IF(AND($B$23="M",HH23="WA"),"M",IF(AND($B$23="M",HH23="EXC"),"M",IF(AND($B$23="F",HH23="WA"),"F",IF(AND($B$23="F",HH23="EXC"),"F","-"))))</f>
        <v>-</v>
      </c>
      <c r="HJ23" s="64" t="str">
        <f t="shared" si="63"/>
        <v/>
      </c>
      <c r="HK23" s="61" t="str">
        <f t="shared" si="64"/>
        <v/>
      </c>
      <c r="HL23" s="65"/>
      <c r="HM23" s="47" t="str">
        <f>IF(AND($B$23="M",HL23="WA"),"M",IF(AND($B$23="M",HL23="EXC"),"M",IF(AND($B$23="F",HL23="WA"),"F",IF(AND($B$23="F",HL23="EXC"),"F","-"))))</f>
        <v>-</v>
      </c>
      <c r="HN23" s="13"/>
      <c r="HO23" s="14"/>
      <c r="HP23" s="15"/>
      <c r="HQ23" s="54"/>
      <c r="HR23" s="55" t="str">
        <f>IF(AND($B$23="M",HQ23="WA"),"M",IF(AND($B$23="M",HQ23="EXC"),"M",IF(AND($B$23="F",HQ23="WA"),"F",IF(AND($B$23="F",HQ23="EXC"),"F","-"))))</f>
        <v>-</v>
      </c>
      <c r="HS23" s="56" t="str">
        <f t="shared" si="65"/>
        <v/>
      </c>
      <c r="HT23" s="54"/>
      <c r="HU23" s="55" t="str">
        <f>IF(AND($B$23="M",HT23="WA"),"M",IF(AND($B$23="M",HT23="EXC"),"M",IF(AND($B$23="F",HT23="WA"),"F",IF(AND($B$23="F",HT23="EXC"),"F","-"))))</f>
        <v>-</v>
      </c>
      <c r="HV23" s="56" t="str">
        <f t="shared" si="66"/>
        <v/>
      </c>
      <c r="HW23" s="54"/>
      <c r="HX23" s="55" t="str">
        <f>IF(AND($B$23="M",HW23="WA"),"M",IF(AND($B$23="M",HW23="EXC"),"M",IF(AND($B$23="F",HW23="WA"),"F",IF(AND($B$23="F",HW23="EXC"),"F","-"))))</f>
        <v>-</v>
      </c>
      <c r="HY23" s="56" t="str">
        <f t="shared" si="67"/>
        <v/>
      </c>
      <c r="HZ23" s="54" t="str">
        <f t="shared" si="68"/>
        <v/>
      </c>
      <c r="IA23" s="67"/>
      <c r="IB23" s="55" t="str">
        <f>IF(AND($B$23="M",IA23="WA"),"M",IF(AND($B$23="M",IA23="EXC"),"M",IF(AND($B$23="F",IA23="WA"),"F",IF(AND($B$23="F",IA23="EXC"),"F","-"))))</f>
        <v>-</v>
      </c>
      <c r="IC23" s="17"/>
    </row>
    <row r="24">
      <c r="A24" s="40"/>
      <c r="B24" s="41"/>
      <c r="C24" s="58"/>
      <c r="D24" s="59" t="str">
        <f>IF(AND($B$24="M",C24="WA"),"M",IF(AND($B$24="M",C24="EXC"),"M",IF(AND($B$24="F",C24="WA"),"F",IF(AND($B$24="F",C24="EXC"),"F","-"))))</f>
        <v>-</v>
      </c>
      <c r="E24" s="60" t="str">
        <f t="shared" si="1"/>
        <v/>
      </c>
      <c r="F24" s="58"/>
      <c r="G24" s="59" t="str">
        <f>IF(AND($B$24="M",F24="WA"),"M",IF(AND($B$24="M",F24="EXC"),"M",IF(AND($B$24="F",F24="WA"),"F",IF(AND($B$24="F",F24="EXC"),"F","-"))))</f>
        <v>-</v>
      </c>
      <c r="H24" s="60" t="str">
        <f t="shared" si="2"/>
        <v/>
      </c>
      <c r="I24" s="58"/>
      <c r="J24" s="59" t="str">
        <f>IF(AND($B$24="M",I24="WA"),"M",IF(AND($B$24="M",I24="EXC"),"M",IF(AND($B$24="F",I24="WA"),"F",IF(AND($B$24="F",I24="EXC"),"F","-"))))</f>
        <v>-</v>
      </c>
      <c r="K24" s="60" t="str">
        <f t="shared" si="3"/>
        <v/>
      </c>
      <c r="L24" s="58"/>
      <c r="M24" s="59" t="str">
        <f>IF(AND($B$24="M",L24="WA"),"M",IF(AND($B$24="M",L24="EXC"),"M",IF(AND($B$24="F",L24="WA"),"F",IF(AND($B$24="F",L24="EXC"),"F","-"))))</f>
        <v>-</v>
      </c>
      <c r="N24" s="60" t="str">
        <f t="shared" si="4"/>
        <v/>
      </c>
      <c r="O24" s="58"/>
      <c r="P24" s="59" t="str">
        <f>IF(AND($B$24="M",O24="WA"),"M",IF(AND($B$24="M",O24="EXC"),"M",IF(AND($B$24="F",O24="WA"),"F",IF(AND($B$24="F",O24="EXC"),"F","-"))))</f>
        <v>-</v>
      </c>
      <c r="Q24" s="60" t="str">
        <f t="shared" si="5"/>
        <v/>
      </c>
      <c r="R24" s="58"/>
      <c r="S24" s="59" t="str">
        <f>IF(AND($B$24="M",R24="WA"),"M",IF(AND($B$24="M",R24="EXC"),"M",IF(AND($B$24="F",R24="WA"),"F",IF(AND($B$24="F",R24="EXC"),"F","-"))))</f>
        <v>-</v>
      </c>
      <c r="T24" s="60" t="str">
        <f t="shared" si="6"/>
        <v/>
      </c>
      <c r="U24" s="61" t="str">
        <f t="shared" si="7"/>
        <v/>
      </c>
      <c r="V24" s="62"/>
      <c r="W24" s="47" t="str">
        <f>IF(AND($B$24="M",V24="WA"),"M",IF(AND($B$24="M",V24="EXC"),"M",IF(AND($B$24="F",V24="WA"),"F",IF(AND($B$24="F",V24="EXC"),"F","-"))))</f>
        <v>-</v>
      </c>
      <c r="X24" s="48"/>
      <c r="Y24" s="49"/>
      <c r="Z24" s="48"/>
      <c r="AA24" s="63"/>
      <c r="AB24" s="59" t="str">
        <f>IF(AND($B$24="M",AA24="WA"),"M",IF(AND($B$24="M",AA24="EXC"),"M",IF(AND($B$24="F",AA24="WA"),"F",IF(AND($B$24="F",AA24="EXC"),"F","-"))))</f>
        <v>-</v>
      </c>
      <c r="AC24" s="64" t="str">
        <f t="shared" si="8"/>
        <v/>
      </c>
      <c r="AD24" s="58"/>
      <c r="AE24" s="59" t="str">
        <f>IF(AND($B$24="M",AD24="WA"),"M",IF(AND($B$24="M",AD24="EXC"),"M",IF(AND($B$24="F",AD24="WA"),"F",IF(AND($B$24="F",AD24="EXC"),"F","-"))))</f>
        <v>-</v>
      </c>
      <c r="AF24" s="64" t="str">
        <f t="shared" si="9"/>
        <v/>
      </c>
      <c r="AG24" s="58"/>
      <c r="AH24" s="59" t="str">
        <f>IF(AND($B$24="M",AG24="WA"),"M",IF(AND($B$24="M",AG24="EXC"),"M",IF(AND($B$24="F",AG24="WA"),"F",IF(AND($B$24="F",AG24="EXC"),"F","-"))))</f>
        <v>-</v>
      </c>
      <c r="AI24" s="64" t="str">
        <f t="shared" si="10"/>
        <v/>
      </c>
      <c r="AJ24" s="58"/>
      <c r="AK24" s="59" t="str">
        <f>IF(AND($B$24="M",AJ24="WA"),"M",IF(AND($B$24="M",AJ24="EXC"),"M",IF(AND($B$24="F",AJ24="WA"),"F",IF(AND($B$24="F",AJ24="EXC"),"F","-"))))</f>
        <v>-</v>
      </c>
      <c r="AL24" s="64" t="str">
        <f t="shared" si="11"/>
        <v/>
      </c>
      <c r="AM24" s="58"/>
      <c r="AN24" s="59" t="str">
        <f>IF(AND($B$24="M",AM24="WA"),"M",IF(AND($B$24="M",AM24="EXC"),"M",IF(AND($B$24="F",AM24="WA"),"F",IF(AND($B$24="F",AM24="EXC"),"F","-"))))</f>
        <v>-</v>
      </c>
      <c r="AO24" s="61" t="str">
        <f t="shared" si="12"/>
        <v/>
      </c>
      <c r="AP24" s="58"/>
      <c r="AQ24" s="59" t="str">
        <f>IF(AND($B$24="M",AP24="WA"),"M",IF(AND($B$24="M",AP24="EXC"),"M",IF(AND($B$24="F",AP24="WA"),"F",IF(AND($B$24="F",AP24="EXC"),"F","-"))))</f>
        <v>-</v>
      </c>
      <c r="AR24" s="61" t="str">
        <f t="shared" si="13"/>
        <v/>
      </c>
      <c r="AS24" s="61" t="str">
        <f t="shared" si="14"/>
        <v/>
      </c>
      <c r="AT24" s="65"/>
      <c r="AU24" s="47" t="str">
        <f>IF(AND($B$24="M",AT24="WA"),"M",IF(AND($B$24="M",AT24="EXC"),"M",IF(AND($B$24="F",AT24="WA"),"F",IF(AND($B$24="F",AT24="EXC"),"F","-"))))</f>
        <v>-</v>
      </c>
      <c r="AV24" s="68"/>
      <c r="AW24" s="66"/>
      <c r="AX24" s="48"/>
      <c r="AY24" s="63"/>
      <c r="AZ24" s="59" t="str">
        <f>IF(AND($B$24="M",AY24="WA"),"M",IF(AND($B$24="M",AY24="EXC"),"M",IF(AND($B$24="F",AY24="WA"),"F",IF(AND($B$24="F",AY24="EXC"),"F","-"))))</f>
        <v>-</v>
      </c>
      <c r="BA24" s="64" t="str">
        <f t="shared" si="15"/>
        <v/>
      </c>
      <c r="BB24" s="58"/>
      <c r="BC24" s="59" t="str">
        <f>IF(AND($B$24="M",BB24="WA"),"M",IF(AND($B$24="M",BB24="EXC"),"M",IF(AND($B$24="F",BB24="WA"),"F",IF(AND($B$24="F",BB24="EXC"),"F","-"))))</f>
        <v>-</v>
      </c>
      <c r="BD24" s="64" t="str">
        <f t="shared" si="16"/>
        <v/>
      </c>
      <c r="BE24" s="58"/>
      <c r="BF24" s="59" t="str">
        <f>IF(AND($B$24="M",BE24="WA"),"M",IF(AND($B$24="M",BE24="EXC"),"M",IF(AND($B$24="F",BE24="WA"),"F",IF(AND($B$24="F",BE24="EXC"),"F","-"))))</f>
        <v>-</v>
      </c>
      <c r="BG24" s="64" t="str">
        <f t="shared" si="17"/>
        <v/>
      </c>
      <c r="BH24" s="58"/>
      <c r="BI24" s="59" t="str">
        <f>IF(AND($B$24="M",BH24="WA"),"M",IF(AND($B$24="M",BH24="EXC"),"M",IF(AND($B$24="F",BH24="WA"),"F",IF(AND($B$24="F",BH24="EXC"),"F","-"))))</f>
        <v>-</v>
      </c>
      <c r="BJ24" s="64" t="str">
        <f t="shared" si="18"/>
        <v/>
      </c>
      <c r="BK24" s="58"/>
      <c r="BL24" s="59" t="str">
        <f>IF(AND($B$24="M",BK24="WA"),"M",IF(AND($B$24="M",BK24="EXC"),"M",IF(AND($B$24="F",BK24="WA"),"F",IF(AND($B$24="F",BK24="EXC"),"F","-"))))</f>
        <v>-</v>
      </c>
      <c r="BM24" s="61" t="str">
        <f t="shared" si="19"/>
        <v/>
      </c>
      <c r="BN24" s="58"/>
      <c r="BO24" s="59" t="str">
        <f>IF(AND($B$24="M",BN24="WA"),"M",IF(AND($B$24="M",BN24="EXC"),"M",IF(AND($B$24="F",BN24="WA"),"F",IF(AND($B$24="F",BN24="EXC"),"F","-"))))</f>
        <v>-</v>
      </c>
      <c r="BP24" s="61" t="str">
        <f t="shared" si="20"/>
        <v/>
      </c>
      <c r="BQ24" s="61" t="str">
        <f t="shared" si="21"/>
        <v/>
      </c>
      <c r="BR24" s="65"/>
      <c r="BS24" s="47" t="str">
        <f>IF(AND($B$24="M",BR24="WA"),"M",IF(AND($B$24="M",BR24="EXC"),"M",IF(AND($B$24="F",BR24="WA"),"F",IF(AND($B$24="F",BR24="EXC"),"F","-"))))</f>
        <v>-</v>
      </c>
      <c r="BT24" s="68"/>
      <c r="BU24" s="66"/>
      <c r="BV24" s="48"/>
      <c r="BW24" s="63"/>
      <c r="BX24" s="59" t="str">
        <f>IF(AND($B$24="M",BW24="WA"),"M",IF(AND($B$24="M",BW24="EXC"),"M",IF(AND($B$24="F",BW24="WA"),"F",IF(AND($B$24="F",BW24="EXC"),"F","-"))))</f>
        <v>-</v>
      </c>
      <c r="BY24" s="64" t="str">
        <f t="shared" si="22"/>
        <v/>
      </c>
      <c r="BZ24" s="58"/>
      <c r="CA24" s="59" t="str">
        <f>IF(AND($B$24="M",BZ24="WA"),"M",IF(AND($B$24="M",BZ24="EXC"),"M",IF(AND($B$24="F",BZ24="WA"),"F",IF(AND($B$24="F",BZ24="EXC"),"F","-"))))</f>
        <v>-</v>
      </c>
      <c r="CB24" s="64" t="str">
        <f t="shared" si="23"/>
        <v/>
      </c>
      <c r="CC24" s="58"/>
      <c r="CD24" s="59" t="str">
        <f>IF(AND($B$24="M",CC24="WA"),"M",IF(AND($B$24="M",CC24="EXC"),"M",IF(AND($B$24="F",CC24="WA"),"F",IF(AND($B$24="F",CC24="EXC"),"F","-"))))</f>
        <v>-</v>
      </c>
      <c r="CE24" s="64" t="str">
        <f t="shared" si="24"/>
        <v/>
      </c>
      <c r="CF24" s="58"/>
      <c r="CG24" s="59" t="str">
        <f>IF(AND($B$24="M",CF24="WA"),"M",IF(AND($B$24="M",CF24="EXC"),"M",IF(AND($B$24="F",CF24="WA"),"F",IF(AND($B$24="F",CF24="EXC"),"F","-"))))</f>
        <v>-</v>
      </c>
      <c r="CH24" s="64" t="str">
        <f t="shared" si="25"/>
        <v/>
      </c>
      <c r="CI24" s="58"/>
      <c r="CJ24" s="59" t="str">
        <f>IF(AND($B$24="M",CI24="WA"),"M",IF(AND($B$24="M",CI24="EXC"),"M",IF(AND($B$24="F",CI24="WA"),"F",IF(AND($B$24="F",CI24="EXC"),"F","-"))))</f>
        <v>-</v>
      </c>
      <c r="CK24" s="61" t="str">
        <f t="shared" si="26"/>
        <v/>
      </c>
      <c r="CL24" s="58"/>
      <c r="CM24" s="59" t="str">
        <f>IF(AND($B$24="M",CL24="WA"),"M",IF(AND($B$24="M",CL24="EXC"),"M",IF(AND($B$24="F",CL24="WA"),"F",IF(AND($B$24="F",CL24="EXC"),"F","-"))))</f>
        <v>-</v>
      </c>
      <c r="CN24" s="61" t="str">
        <f t="shared" si="27"/>
        <v/>
      </c>
      <c r="CO24" s="61" t="str">
        <f t="shared" si="28"/>
        <v/>
      </c>
      <c r="CP24" s="65"/>
      <c r="CQ24" s="47" t="str">
        <f>IF(AND($B$24="M",CP24="WA"),"M",IF(AND($B$24="M",CP24="EXC"),"M",IF(AND($B$24="F",CP24="WA"),"F",IF(AND($B$24="F",CP24="EXC"),"F","-"))))</f>
        <v>-</v>
      </c>
      <c r="CR24" s="68"/>
      <c r="CS24" s="66"/>
      <c r="CT24" s="48"/>
      <c r="CU24" s="63"/>
      <c r="CV24" s="59" t="str">
        <f>IF(AND($B$24="M",CU24="WA"),"M",IF(AND($B$24="M",CU24="EXC"),"M",IF(AND($B$24="F",CU24="WA"),"F",IF(AND($B$24="F",CU24="EXC"),"F","-"))))</f>
        <v>-</v>
      </c>
      <c r="CW24" s="64" t="str">
        <f t="shared" si="29"/>
        <v/>
      </c>
      <c r="CX24" s="58"/>
      <c r="CY24" s="59" t="str">
        <f>IF(AND($B$24="M",CX24="WA"),"M",IF(AND($B$24="M",CX24="EXC"),"M",IF(AND($B$24="F",CX24="WA"),"F",IF(AND($B$24="F",CX24="EXC"),"F","-"))))</f>
        <v>-</v>
      </c>
      <c r="CZ24" s="64" t="str">
        <f t="shared" si="30"/>
        <v/>
      </c>
      <c r="DA24" s="58"/>
      <c r="DB24" s="59" t="str">
        <f>IF(AND($B$24="M",DA24="WA"),"M",IF(AND($B$24="M",DA24="EXC"),"M",IF(AND($B$24="F",DA24="WA"),"F",IF(AND($B$24="F",DA24="EXC"),"F","-"))))</f>
        <v>-</v>
      </c>
      <c r="DC24" s="64" t="str">
        <f t="shared" si="31"/>
        <v/>
      </c>
      <c r="DD24" s="58"/>
      <c r="DE24" s="59" t="str">
        <f>IF(AND($B$24="M",DD24="WA"),"M",IF(AND($B$24="M",DD24="EXC"),"M",IF(AND($B$24="F",DD24="WA"),"F",IF(AND($B$24="F",DD24="EXC"),"F","-"))))</f>
        <v>-</v>
      </c>
      <c r="DF24" s="64" t="str">
        <f t="shared" si="32"/>
        <v/>
      </c>
      <c r="DG24" s="58"/>
      <c r="DH24" s="59" t="str">
        <f>IF(AND($B$24="M",DG24="WA"),"M",IF(AND($B$24="M",DG24="EXC"),"M",IF(AND($B$24="F",DG24="WA"),"F",IF(AND($B$24="F",DG24="EXC"),"F","-"))))</f>
        <v>-</v>
      </c>
      <c r="DI24" s="61" t="str">
        <f t="shared" si="33"/>
        <v/>
      </c>
      <c r="DJ24" s="58"/>
      <c r="DK24" s="59" t="str">
        <f>IF(AND($B$24="M",DJ24="WA"),"M",IF(AND($B$24="M",DJ24="EXC"),"M",IF(AND($B$24="F",DJ24="WA"),"F",IF(AND($B$24="F",DJ24="EXC"),"F","-"))))</f>
        <v>-</v>
      </c>
      <c r="DL24" s="61" t="str">
        <f t="shared" si="34"/>
        <v/>
      </c>
      <c r="DM24" s="61" t="str">
        <f t="shared" si="35"/>
        <v/>
      </c>
      <c r="DN24" s="65"/>
      <c r="DO24" s="47" t="str">
        <f>IF(AND($B$24="M",DN24="WA"),"M",IF(AND($B$24="M",DN24="EXC"),"M",IF(AND($B$24="F",DN24="WA"),"F",IF(AND($B$24="F",DN24="EXC"),"F","-"))))</f>
        <v>-</v>
      </c>
      <c r="DP24" s="68"/>
      <c r="DQ24" s="66"/>
      <c r="DR24" s="48"/>
      <c r="DS24" s="63"/>
      <c r="DT24" s="59" t="str">
        <f>IF(AND($B$24="M",DS24="WA"),"M",IF(AND($B$24="M",DS24="EXC"),"M",IF(AND($B$24="F",DS24="WA"),"F",IF(AND($B$24="F",DS24="EXC"),"F","-"))))</f>
        <v>-</v>
      </c>
      <c r="DU24" s="64" t="str">
        <f t="shared" si="36"/>
        <v/>
      </c>
      <c r="DV24" s="58"/>
      <c r="DW24" s="59" t="str">
        <f>IF(AND($B$24="M",DV24="WA"),"M",IF(AND($B$24="M",DV24="EXC"),"M",IF(AND($B$24="F",DV24="WA"),"F",IF(AND($B$24="F",DV24="EXC"),"F","-"))))</f>
        <v>-</v>
      </c>
      <c r="DX24" s="64" t="str">
        <f t="shared" si="37"/>
        <v/>
      </c>
      <c r="DY24" s="58"/>
      <c r="DZ24" s="59" t="str">
        <f>IF(AND($B$24="M",DY24="WA"),"M",IF(AND($B$24="M",DY24="EXC"),"M",IF(AND($B$24="F",DY24="WA"),"F",IF(AND($B$24="F",DY24="EXC"),"F","-"))))</f>
        <v>-</v>
      </c>
      <c r="EA24" s="64" t="str">
        <f t="shared" si="38"/>
        <v/>
      </c>
      <c r="EB24" s="58"/>
      <c r="EC24" s="59" t="str">
        <f>IF(AND($B$24="M",EB24="WA"),"M",IF(AND($B$24="M",EB24="EXC"),"M",IF(AND($B$24="F",EB24="WA"),"F",IF(AND($B$24="F",EB24="EXC"),"F","-"))))</f>
        <v>-</v>
      </c>
      <c r="ED24" s="64" t="str">
        <f t="shared" si="39"/>
        <v/>
      </c>
      <c r="EE24" s="58"/>
      <c r="EF24" s="59" t="str">
        <f>IF(AND($B$24="M",EE24="WA"),"M",IF(AND($B$24="M",EE24="EXC"),"M",IF(AND($B$24="F",EE24="WA"),"F",IF(AND($B$24="F",EE24="EXC"),"F","-"))))</f>
        <v>-</v>
      </c>
      <c r="EG24" s="61" t="str">
        <f t="shared" si="40"/>
        <v/>
      </c>
      <c r="EH24" s="58"/>
      <c r="EI24" s="59" t="str">
        <f>IF(AND($B$24="M",EH24="WA"),"M",IF(AND($B$24="M",EH24="EXC"),"M",IF(AND($B$24="F",EH24="WA"),"F",IF(AND($B$24="F",EH24="EXC"),"F","-"))))</f>
        <v>-</v>
      </c>
      <c r="EJ24" s="61" t="str">
        <f t="shared" si="41"/>
        <v/>
      </c>
      <c r="EK24" s="61" t="str">
        <f t="shared" si="42"/>
        <v/>
      </c>
      <c r="EL24" s="65"/>
      <c r="EM24" s="47" t="str">
        <f>IF(AND($B$24="M",EL24="WA"),"M",IF(AND($B$24="M",EL24="EXC"),"M",IF(AND($B$24="F",EL24="WA"),"F",IF(AND($B$24="F",EL24="EXC"),"F","-"))))</f>
        <v>-</v>
      </c>
      <c r="EN24" s="68"/>
      <c r="EO24" s="66"/>
      <c r="EP24" s="48"/>
      <c r="EQ24" s="63"/>
      <c r="ER24" s="59" t="str">
        <f>IF(AND($B$24="M",EQ24="WA"),"M",IF(AND($B$24="M",EQ24="EXC"),"M",IF(AND($B$24="F",EQ24="WA"),"F",IF(AND($B$24="F",EQ24="EXC"),"F","-"))))</f>
        <v>-</v>
      </c>
      <c r="ES24" s="64" t="str">
        <f t="shared" si="43"/>
        <v/>
      </c>
      <c r="ET24" s="58"/>
      <c r="EU24" s="59" t="str">
        <f>IF(AND($B$24="M",ET24="WA"),"M",IF(AND($B$24="M",ET24="EXC"),"M",IF(AND($B$24="F",ET24="WA"),"F",IF(AND($B$24="F",ET24="EXC"),"F","-"))))</f>
        <v>-</v>
      </c>
      <c r="EV24" s="64" t="str">
        <f t="shared" si="44"/>
        <v/>
      </c>
      <c r="EW24" s="58"/>
      <c r="EX24" s="59" t="str">
        <f>IF(AND($B$24="M",EW24="WA"),"M",IF(AND($B$24="M",EW24="EXC"),"M",IF(AND($B$24="F",EW24="WA"),"F",IF(AND($B$24="F",EW24="EXC"),"F","-"))))</f>
        <v>-</v>
      </c>
      <c r="EY24" s="64" t="str">
        <f t="shared" si="45"/>
        <v/>
      </c>
      <c r="EZ24" s="58"/>
      <c r="FA24" s="59" t="str">
        <f>IF(AND($B$24="M",EZ24="WA"),"M",IF(AND($B$24="M",EZ24="EXC"),"M",IF(AND($B$24="F",EZ24="WA"),"F",IF(AND($B$24="F",EZ24="EXC"),"F","-"))))</f>
        <v>-</v>
      </c>
      <c r="FB24" s="64" t="str">
        <f t="shared" si="46"/>
        <v/>
      </c>
      <c r="FC24" s="58"/>
      <c r="FD24" s="59" t="str">
        <f>IF(AND($B$24="M",FC24="WA"),"M",IF(AND($B$24="M",FC24="EXC"),"M",IF(AND($B$24="F",FC24="WA"),"F",IF(AND($B$24="F",FC24="EXC"),"F","-"))))</f>
        <v>-</v>
      </c>
      <c r="FE24" s="61" t="str">
        <f t="shared" si="47"/>
        <v/>
      </c>
      <c r="FF24" s="58"/>
      <c r="FG24" s="59" t="str">
        <f>IF(AND($B$24="M",FF24="WA"),"M",IF(AND($B$24="M",FF24="EXC"),"M",IF(AND($B$24="F",FF24="WA"),"F",IF(AND($B$24="F",FF24="EXC"),"F","-"))))</f>
        <v>-</v>
      </c>
      <c r="FH24" s="61" t="str">
        <f t="shared" si="48"/>
        <v/>
      </c>
      <c r="FI24" s="61" t="str">
        <f t="shared" si="49"/>
        <v/>
      </c>
      <c r="FJ24" s="65"/>
      <c r="FK24" s="47" t="str">
        <f>IF(AND($B$24="M",FJ24="WA"),"M",IF(AND($B$24="M",FJ24="EXC"),"M",IF(AND($B$24="F",FJ24="WA"),"F",IF(AND($B$24="F",FJ24="EXC"),"F","-"))))</f>
        <v>-</v>
      </c>
      <c r="FL24" s="68"/>
      <c r="FM24" s="66"/>
      <c r="FN24" s="48"/>
      <c r="FO24" s="63"/>
      <c r="FP24" s="59" t="str">
        <f>IF(AND($B$24="M",FO24="WA"),"M",IF(AND($B$24="M",FO24="EXC"),"M",IF(AND($B$24="F",FO24="WA"),"F",IF(AND($B$24="F",FO24="EXC"),"F","-"))))</f>
        <v>-</v>
      </c>
      <c r="FQ24" s="64" t="str">
        <f t="shared" si="50"/>
        <v/>
      </c>
      <c r="FR24" s="58"/>
      <c r="FS24" s="59" t="str">
        <f>IF(AND($B$24="M",FR24="WA"),"M",IF(AND($B$24="M",FR24="EXC"),"M",IF(AND($B$24="F",FR24="WA"),"F",IF(AND($B$24="F",FR24="EXC"),"F","-"))))</f>
        <v>-</v>
      </c>
      <c r="FT24" s="64" t="str">
        <f t="shared" si="51"/>
        <v/>
      </c>
      <c r="FU24" s="58"/>
      <c r="FV24" s="59" t="str">
        <f>IF(AND($B$24="M",FU24="WA"),"M",IF(AND($B$24="M",FU24="EXC"),"M",IF(AND($B$24="F",FU24="WA"),"F",IF(AND($B$24="F",FU24="EXC"),"F","-"))))</f>
        <v>-</v>
      </c>
      <c r="FW24" s="64" t="str">
        <f t="shared" si="52"/>
        <v/>
      </c>
      <c r="FX24" s="58"/>
      <c r="FY24" s="59" t="str">
        <f>IF(AND($B$24="M",FX24="WA"),"M",IF(AND($B$24="M",FX24="EXC"),"M",IF(AND($B$24="F",FX24="WA"),"F",IF(AND($B$24="F",FX24="EXC"),"F","-"))))</f>
        <v>-</v>
      </c>
      <c r="FZ24" s="64" t="str">
        <f t="shared" si="53"/>
        <v/>
      </c>
      <c r="GA24" s="58"/>
      <c r="GB24" s="59" t="str">
        <f>IF(AND($B$24="M",GA24="WA"),"M",IF(AND($B$24="M",GA24="EXC"),"M",IF(AND($B$24="F",GA24="WA"),"F",IF(AND($B$24="F",GA24="EXC"),"F","-"))))</f>
        <v>-</v>
      </c>
      <c r="GC24" s="61" t="str">
        <f t="shared" si="54"/>
        <v/>
      </c>
      <c r="GD24" s="58"/>
      <c r="GE24" s="59" t="str">
        <f>IF(AND($B$24="M",GD24="WA"),"M",IF(AND($B$24="M",GD24="EXC"),"M",IF(AND($B$24="F",GD24="WA"),"F",IF(AND($B$24="F",GD24="EXC"),"F","-"))))</f>
        <v>-</v>
      </c>
      <c r="GF24" s="61" t="str">
        <f t="shared" si="55"/>
        <v/>
      </c>
      <c r="GG24" s="61" t="str">
        <f t="shared" si="56"/>
        <v/>
      </c>
      <c r="GH24" s="65"/>
      <c r="GI24" s="47" t="str">
        <f>IF(AND($B$24="M",GH24="WA"),"M",IF(AND($B$24="M",GH24="EXC"),"M",IF(AND($B$24="F",GH24="WA"),"F",IF(AND($B$24="F",GH24="EXC"),"F","-"))))</f>
        <v>-</v>
      </c>
      <c r="GJ24" s="68"/>
      <c r="GK24" s="66"/>
      <c r="GL24" s="48"/>
      <c r="GM24" s="63"/>
      <c r="GN24" s="59" t="str">
        <f>IF(AND($B$24="M",GM24="WA"),"M",IF(AND($B$24="M",GM24="EXC"),"M",IF(AND($B$24="F",GM24="WA"),"F",IF(AND($B$24="F",GM24="EXC"),"F","-"))))</f>
        <v>-</v>
      </c>
      <c r="GO24" s="64" t="str">
        <f t="shared" si="57"/>
        <v/>
      </c>
      <c r="GP24" s="58"/>
      <c r="GQ24" s="59" t="str">
        <f>IF(AND($B$24="M",GP24="WA"),"M",IF(AND($B$24="M",GP24="EXC"),"M",IF(AND($B$24="F",GP24="WA"),"F",IF(AND($B$24="F",GP24="EXC"),"F","-"))))</f>
        <v>-</v>
      </c>
      <c r="GR24" s="64" t="str">
        <f t="shared" si="58"/>
        <v/>
      </c>
      <c r="GS24" s="58"/>
      <c r="GT24" s="59" t="str">
        <f>IF(AND($B$24="M",GS24="WA"),"M",IF(AND($B$24="M",GS24="EXC"),"M",IF(AND($B$24="F",GS24="WA"),"F",IF(AND($B$24="F",GS24="EXC"),"F","-"))))</f>
        <v>-</v>
      </c>
      <c r="GU24" s="64" t="str">
        <f t="shared" si="59"/>
        <v/>
      </c>
      <c r="GV24" s="61" t="str">
        <f t="shared" si="60"/>
        <v/>
      </c>
      <c r="GW24" s="65"/>
      <c r="GX24" s="47" t="str">
        <f>IF(AND($B$24="M",GW24="WA"),"M",IF(AND($B$24="M",GW24="EXC"),"M",IF(AND($B$24="F",GW24="WA"),"F",IF(AND($B$24="F",GW24="EXC"),"F","-"))))</f>
        <v>-</v>
      </c>
      <c r="GY24" s="68"/>
      <c r="GZ24" s="66"/>
      <c r="HA24" s="48"/>
      <c r="HB24" s="63"/>
      <c r="HC24" s="59" t="str">
        <f>IF(AND($B$24="M",HB24="WA"),"M",IF(AND($B$24="M",HB24="EXC"),"M",IF(AND($B$24="F",HB24="WA"),"F",IF(AND($B$24="F",HB24="EXC"),"F","-"))))</f>
        <v>-</v>
      </c>
      <c r="HD24" s="64" t="str">
        <f t="shared" si="61"/>
        <v/>
      </c>
      <c r="HE24" s="58"/>
      <c r="HF24" s="59" t="str">
        <f>IF(AND($B$24="M",HE24="WA"),"M",IF(AND($B$24="M",HE24="EXC"),"M",IF(AND($B$24="F",HE24="WA"),"F",IF(AND($B$24="F",HE24="EXC"),"F","-"))))</f>
        <v>-</v>
      </c>
      <c r="HG24" s="64" t="str">
        <f t="shared" si="62"/>
        <v/>
      </c>
      <c r="HH24" s="58"/>
      <c r="HI24" s="59" t="str">
        <f>IF(AND($B$24="M",HH24="WA"),"M",IF(AND($B$24="M",HH24="EXC"),"M",IF(AND($B$24="F",HH24="WA"),"F",IF(AND($B$24="F",HH24="EXC"),"F","-"))))</f>
        <v>-</v>
      </c>
      <c r="HJ24" s="64" t="str">
        <f t="shared" si="63"/>
        <v/>
      </c>
      <c r="HK24" s="61" t="str">
        <f t="shared" si="64"/>
        <v/>
      </c>
      <c r="HL24" s="65"/>
      <c r="HM24" s="47" t="str">
        <f>IF(AND($B$24="M",HL24="WA"),"M",IF(AND($B$24="M",HL24="EXC"),"M",IF(AND($B$24="F",HL24="WA"),"F",IF(AND($B$24="F",HL24="EXC"),"F","-"))))</f>
        <v>-</v>
      </c>
      <c r="HN24" s="13"/>
      <c r="HO24" s="14"/>
      <c r="HP24" s="15"/>
      <c r="HQ24" s="54"/>
      <c r="HR24" s="55" t="str">
        <f>IF(AND($B$24="M",HQ24="WA"),"M",IF(AND($B$24="M",HQ24="EXC"),"M",IF(AND($B$24="F",HQ24="WA"),"F",IF(AND($B$24="F",HQ24="EXC"),"F","-"))))</f>
        <v>-</v>
      </c>
      <c r="HS24" s="56" t="str">
        <f t="shared" si="65"/>
        <v/>
      </c>
      <c r="HT24" s="54"/>
      <c r="HU24" s="55" t="str">
        <f>IF(AND($B$24="M",HT24="WA"),"M",IF(AND($B$24="M",HT24="EXC"),"M",IF(AND($B$24="F",HT24="WA"),"F",IF(AND($B$24="F",HT24="EXC"),"F","-"))))</f>
        <v>-</v>
      </c>
      <c r="HV24" s="56" t="str">
        <f t="shared" si="66"/>
        <v/>
      </c>
      <c r="HW24" s="54"/>
      <c r="HX24" s="55" t="str">
        <f>IF(AND($B$24="M",HW24="WA"),"M",IF(AND($B$24="M",HW24="EXC"),"M",IF(AND($B$24="F",HW24="WA"),"F",IF(AND($B$24="F",HW24="EXC"),"F","-"))))</f>
        <v>-</v>
      </c>
      <c r="HY24" s="56" t="str">
        <f t="shared" si="67"/>
        <v/>
      </c>
      <c r="HZ24" s="54" t="str">
        <f t="shared" si="68"/>
        <v/>
      </c>
      <c r="IA24" s="67"/>
      <c r="IB24" s="55" t="str">
        <f>IF(AND($B$24="M",IA24="WA"),"M",IF(AND($B$24="M",IA24="EXC"),"M",IF(AND($B$24="F",IA24="WA"),"F",IF(AND($B$24="F",IA24="EXC"),"F","-"))))</f>
        <v>-</v>
      </c>
      <c r="IC24" s="17"/>
    </row>
    <row r="25">
      <c r="A25" s="40"/>
      <c r="B25" s="41"/>
      <c r="C25" s="58"/>
      <c r="D25" s="59" t="str">
        <f>IF(AND($B$25="M",C25="WA"),"M",IF(AND($B$25="M",C25="EXC"),"M",IF(AND($B$25="F",C25="WA"),"F",IF(AND($B$25="F",C25="EXC"),"F","-"))))</f>
        <v>-</v>
      </c>
      <c r="E25" s="60" t="str">
        <f t="shared" si="1"/>
        <v/>
      </c>
      <c r="F25" s="58"/>
      <c r="G25" s="59" t="str">
        <f>IF(AND($B$25="M",F25="WA"),"M",IF(AND($B$25="M",F25="EXC"),"M",IF(AND($B$25="F",F25="WA"),"F",IF(AND($B$25="F",F25="EXC"),"F","-"))))</f>
        <v>-</v>
      </c>
      <c r="H25" s="60" t="str">
        <f t="shared" si="2"/>
        <v/>
      </c>
      <c r="I25" s="58"/>
      <c r="J25" s="59" t="str">
        <f>IF(AND($B$25="M",I25="WA"),"M",IF(AND($B$25="M",I25="EXC"),"M",IF(AND($B$25="F",I25="WA"),"F",IF(AND($B$25="F",I25="EXC"),"F","-"))))</f>
        <v>-</v>
      </c>
      <c r="K25" s="60" t="str">
        <f t="shared" si="3"/>
        <v/>
      </c>
      <c r="L25" s="58"/>
      <c r="M25" s="59" t="str">
        <f>IF(AND($B$25="M",L25="WA"),"M",IF(AND($B$25="M",L25="EXC"),"M",IF(AND($B$25="F",L25="WA"),"F",IF(AND($B$25="F",L25="EXC"),"F","-"))))</f>
        <v>-</v>
      </c>
      <c r="N25" s="60" t="str">
        <f t="shared" si="4"/>
        <v/>
      </c>
      <c r="O25" s="58"/>
      <c r="P25" s="59" t="str">
        <f>IF(AND($B$25="M",O25="WA"),"M",IF(AND($B$25="M",O25="EXC"),"M",IF(AND($B$25="F",O25="WA"),"F",IF(AND($B$25="F",O25="EXC"),"F","-"))))</f>
        <v>-</v>
      </c>
      <c r="Q25" s="60" t="str">
        <f t="shared" si="5"/>
        <v/>
      </c>
      <c r="R25" s="58"/>
      <c r="S25" s="59" t="str">
        <f>IF(AND($B$25="M",R25="WA"),"M",IF(AND($B$25="M",R25="EXC"),"M",IF(AND($B$25="F",R25="WA"),"F",IF(AND($B$25="F",R25="EXC"),"F","-"))))</f>
        <v>-</v>
      </c>
      <c r="T25" s="60" t="str">
        <f t="shared" si="6"/>
        <v/>
      </c>
      <c r="U25" s="61" t="str">
        <f t="shared" si="7"/>
        <v/>
      </c>
      <c r="V25" s="62"/>
      <c r="W25" s="47" t="str">
        <f>IF(AND($B$25="M",V25="WA"),"M",IF(AND($B$25="M",V25="EXC"),"M",IF(AND($B$25="F",V25="WA"),"F",IF(AND($B$25="F",V25="EXC"),"F","-"))))</f>
        <v>-</v>
      </c>
      <c r="X25" s="48"/>
      <c r="Y25" s="49"/>
      <c r="Z25" s="48"/>
      <c r="AA25" s="63"/>
      <c r="AB25" s="59" t="str">
        <f>IF(AND($B$25="M",AA25="WA"),"M",IF(AND($B$25="M",AA25="EXC"),"M",IF(AND($B$25="F",AA25="WA"),"F",IF(AND($B$25="F",AA25="EXC"),"F","-"))))</f>
        <v>-</v>
      </c>
      <c r="AC25" s="64" t="str">
        <f t="shared" si="8"/>
        <v/>
      </c>
      <c r="AD25" s="58"/>
      <c r="AE25" s="59" t="str">
        <f>IF(AND($B$25="M",AD25="WA"),"M",IF(AND($B$25="M",AD25="EXC"),"M",IF(AND($B$25="F",AD25="WA"),"F",IF(AND($B$25="F",AD25="EXC"),"F","-"))))</f>
        <v>-</v>
      </c>
      <c r="AF25" s="64" t="str">
        <f t="shared" si="9"/>
        <v/>
      </c>
      <c r="AG25" s="58"/>
      <c r="AH25" s="59" t="str">
        <f>IF(AND($B$25="M",AG25="WA"),"M",IF(AND($B$25="M",AG25="EXC"),"M",IF(AND($B$25="F",AG25="WA"),"F",IF(AND($B$25="F",AG25="EXC"),"F","-"))))</f>
        <v>-</v>
      </c>
      <c r="AI25" s="64" t="str">
        <f t="shared" si="10"/>
        <v/>
      </c>
      <c r="AJ25" s="58"/>
      <c r="AK25" s="59" t="str">
        <f>IF(AND($B$25="M",AJ25="WA"),"M",IF(AND($B$25="M",AJ25="EXC"),"M",IF(AND($B$25="F",AJ25="WA"),"F",IF(AND($B$25="F",AJ25="EXC"),"F","-"))))</f>
        <v>-</v>
      </c>
      <c r="AL25" s="64" t="str">
        <f t="shared" si="11"/>
        <v/>
      </c>
      <c r="AM25" s="58"/>
      <c r="AN25" s="59" t="str">
        <f>IF(AND($B$25="M",AM25="WA"),"M",IF(AND($B$25="M",AM25="EXC"),"M",IF(AND($B$25="F",AM25="WA"),"F",IF(AND($B$25="F",AM25="EXC"),"F","-"))))</f>
        <v>-</v>
      </c>
      <c r="AO25" s="61" t="str">
        <f t="shared" si="12"/>
        <v/>
      </c>
      <c r="AP25" s="58"/>
      <c r="AQ25" s="59" t="str">
        <f>IF(AND($B$25="M",AP25="WA"),"M",IF(AND($B$25="M",AP25="EXC"),"M",IF(AND($B$25="F",AP25="WA"),"F",IF(AND($B$25="F",AP25="EXC"),"F","-"))))</f>
        <v>-</v>
      </c>
      <c r="AR25" s="61" t="str">
        <f t="shared" si="13"/>
        <v/>
      </c>
      <c r="AS25" s="61" t="str">
        <f t="shared" si="14"/>
        <v/>
      </c>
      <c r="AT25" s="65"/>
      <c r="AU25" s="47" t="str">
        <f>IF(AND($B$25="M",AT25="WA"),"M",IF(AND($B$25="M",AT25="EXC"),"M",IF(AND($B$25="F",AT25="WA"),"F",IF(AND($B$25="F",AT25="EXC"),"F","-"))))</f>
        <v>-</v>
      </c>
      <c r="AV25" s="68"/>
      <c r="AW25" s="66"/>
      <c r="AX25" s="48"/>
      <c r="AY25" s="63"/>
      <c r="AZ25" s="59" t="str">
        <f>IF(AND($B$25="M",AY25="WA"),"M",IF(AND($B$25="M",AY25="EXC"),"M",IF(AND($B$25="F",AY25="WA"),"F",IF(AND($B$25="F",AY25="EXC"),"F","-"))))</f>
        <v>-</v>
      </c>
      <c r="BA25" s="64" t="str">
        <f t="shared" si="15"/>
        <v/>
      </c>
      <c r="BB25" s="58"/>
      <c r="BC25" s="59" t="str">
        <f>IF(AND($B$25="M",BB25="WA"),"M",IF(AND($B$25="M",BB25="EXC"),"M",IF(AND($B$25="F",BB25="WA"),"F",IF(AND($B$25="F",BB25="EXC"),"F","-"))))</f>
        <v>-</v>
      </c>
      <c r="BD25" s="64" t="str">
        <f t="shared" si="16"/>
        <v/>
      </c>
      <c r="BE25" s="58"/>
      <c r="BF25" s="59" t="str">
        <f>IF(AND($B$25="M",BE25="WA"),"M",IF(AND($B$25="M",BE25="EXC"),"M",IF(AND($B$25="F",BE25="WA"),"F",IF(AND($B$25="F",BE25="EXC"),"F","-"))))</f>
        <v>-</v>
      </c>
      <c r="BG25" s="64" t="str">
        <f t="shared" si="17"/>
        <v/>
      </c>
      <c r="BH25" s="58"/>
      <c r="BI25" s="59" t="str">
        <f>IF(AND($B$25="M",BH25="WA"),"M",IF(AND($B$25="M",BH25="EXC"),"M",IF(AND($B$25="F",BH25="WA"),"F",IF(AND($B$25="F",BH25="EXC"),"F","-"))))</f>
        <v>-</v>
      </c>
      <c r="BJ25" s="64" t="str">
        <f t="shared" si="18"/>
        <v/>
      </c>
      <c r="BK25" s="58"/>
      <c r="BL25" s="59" t="str">
        <f>IF(AND($B$25="M",BK25="WA"),"M",IF(AND($B$25="M",BK25="EXC"),"M",IF(AND($B$25="F",BK25="WA"),"F",IF(AND($B$25="F",BK25="EXC"),"F","-"))))</f>
        <v>-</v>
      </c>
      <c r="BM25" s="61" t="str">
        <f t="shared" si="19"/>
        <v/>
      </c>
      <c r="BN25" s="58"/>
      <c r="BO25" s="59" t="str">
        <f>IF(AND($B$25="M",BN25="WA"),"M",IF(AND($B$25="M",BN25="EXC"),"M",IF(AND($B$25="F",BN25="WA"),"F",IF(AND($B$25="F",BN25="EXC"),"F","-"))))</f>
        <v>-</v>
      </c>
      <c r="BP25" s="61" t="str">
        <f t="shared" si="20"/>
        <v/>
      </c>
      <c r="BQ25" s="61" t="str">
        <f t="shared" si="21"/>
        <v/>
      </c>
      <c r="BR25" s="65"/>
      <c r="BS25" s="47" t="str">
        <f>IF(AND($B$25="M",BR25="WA"),"M",IF(AND($B$25="M",BR25="EXC"),"M",IF(AND($B$25="F",BR25="WA"),"F",IF(AND($B$25="F",BR25="EXC"),"F","-"))))</f>
        <v>-</v>
      </c>
      <c r="BT25" s="68"/>
      <c r="BU25" s="66"/>
      <c r="BV25" s="48"/>
      <c r="BW25" s="63"/>
      <c r="BX25" s="59" t="str">
        <f>IF(AND($B$25="M",BW25="WA"),"M",IF(AND($B$25="M",BW25="EXC"),"M",IF(AND($B$25="F",BW25="WA"),"F",IF(AND($B$25="F",BW25="EXC"),"F","-"))))</f>
        <v>-</v>
      </c>
      <c r="BY25" s="64" t="str">
        <f t="shared" si="22"/>
        <v/>
      </c>
      <c r="BZ25" s="58"/>
      <c r="CA25" s="59" t="str">
        <f>IF(AND($B$25="M",BZ25="WA"),"M",IF(AND($B$25="M",BZ25="EXC"),"M",IF(AND($B$25="F",BZ25="WA"),"F",IF(AND($B$25="F",BZ25="EXC"),"F","-"))))</f>
        <v>-</v>
      </c>
      <c r="CB25" s="64" t="str">
        <f t="shared" si="23"/>
        <v/>
      </c>
      <c r="CC25" s="58"/>
      <c r="CD25" s="59" t="str">
        <f>IF(AND($B$25="M",CC25="WA"),"M",IF(AND($B$25="M",CC25="EXC"),"M",IF(AND($B$25="F",CC25="WA"),"F",IF(AND($B$25="F",CC25="EXC"),"F","-"))))</f>
        <v>-</v>
      </c>
      <c r="CE25" s="64" t="str">
        <f t="shared" si="24"/>
        <v/>
      </c>
      <c r="CF25" s="58"/>
      <c r="CG25" s="59" t="str">
        <f>IF(AND($B$25="M",CF25="WA"),"M",IF(AND($B$25="M",CF25="EXC"),"M",IF(AND($B$25="F",CF25="WA"),"F",IF(AND($B$25="F",CF25="EXC"),"F","-"))))</f>
        <v>-</v>
      </c>
      <c r="CH25" s="64" t="str">
        <f t="shared" si="25"/>
        <v/>
      </c>
      <c r="CI25" s="58"/>
      <c r="CJ25" s="59" t="str">
        <f>IF(AND($B$25="M",CI25="WA"),"M",IF(AND($B$25="M",CI25="EXC"),"M",IF(AND($B$25="F",CI25="WA"),"F",IF(AND($B$25="F",CI25="EXC"),"F","-"))))</f>
        <v>-</v>
      </c>
      <c r="CK25" s="61" t="str">
        <f t="shared" si="26"/>
        <v/>
      </c>
      <c r="CL25" s="58"/>
      <c r="CM25" s="59" t="str">
        <f>IF(AND($B$25="M",CL25="WA"),"M",IF(AND($B$25="M",CL25="EXC"),"M",IF(AND($B$25="F",CL25="WA"),"F",IF(AND($B$25="F",CL25="EXC"),"F","-"))))</f>
        <v>-</v>
      </c>
      <c r="CN25" s="61" t="str">
        <f t="shared" si="27"/>
        <v/>
      </c>
      <c r="CO25" s="61" t="str">
        <f t="shared" si="28"/>
        <v/>
      </c>
      <c r="CP25" s="65"/>
      <c r="CQ25" s="47" t="str">
        <f>IF(AND($B$25="M",CP25="WA"),"M",IF(AND($B$25="M",CP25="EXC"),"M",IF(AND($B$25="F",CP25="WA"),"F",IF(AND($B$25="F",CP25="EXC"),"F","-"))))</f>
        <v>-</v>
      </c>
      <c r="CR25" s="68"/>
      <c r="CS25" s="66"/>
      <c r="CT25" s="48"/>
      <c r="CU25" s="63"/>
      <c r="CV25" s="59" t="str">
        <f>IF(AND($B$25="M",CU25="WA"),"M",IF(AND($B$25="M",CU25="EXC"),"M",IF(AND($B$25="F",CU25="WA"),"F",IF(AND($B$25="F",CU25="EXC"),"F","-"))))</f>
        <v>-</v>
      </c>
      <c r="CW25" s="64" t="str">
        <f t="shared" si="29"/>
        <v/>
      </c>
      <c r="CX25" s="58"/>
      <c r="CY25" s="59" t="str">
        <f>IF(AND($B$25="M",CX25="WA"),"M",IF(AND($B$25="M",CX25="EXC"),"M",IF(AND($B$25="F",CX25="WA"),"F",IF(AND($B$25="F",CX25="EXC"),"F","-"))))</f>
        <v>-</v>
      </c>
      <c r="CZ25" s="64" t="str">
        <f t="shared" si="30"/>
        <v/>
      </c>
      <c r="DA25" s="58"/>
      <c r="DB25" s="59" t="str">
        <f>IF(AND($B$25="M",DA25="WA"),"M",IF(AND($B$25="M",DA25="EXC"),"M",IF(AND($B$25="F",DA25="WA"),"F",IF(AND($B$25="F",DA25="EXC"),"F","-"))))</f>
        <v>-</v>
      </c>
      <c r="DC25" s="64" t="str">
        <f t="shared" si="31"/>
        <v/>
      </c>
      <c r="DD25" s="58"/>
      <c r="DE25" s="59" t="str">
        <f>IF(AND($B$25="M",DD25="WA"),"M",IF(AND($B$25="M",DD25="EXC"),"M",IF(AND($B$25="F",DD25="WA"),"F",IF(AND($B$25="F",DD25="EXC"),"F","-"))))</f>
        <v>-</v>
      </c>
      <c r="DF25" s="64" t="str">
        <f t="shared" si="32"/>
        <v/>
      </c>
      <c r="DG25" s="58"/>
      <c r="DH25" s="59" t="str">
        <f>IF(AND($B$25="M",DG25="WA"),"M",IF(AND($B$25="M",DG25="EXC"),"M",IF(AND($B$25="F",DG25="WA"),"F",IF(AND($B$25="F",DG25="EXC"),"F","-"))))</f>
        <v>-</v>
      </c>
      <c r="DI25" s="61" t="str">
        <f t="shared" si="33"/>
        <v/>
      </c>
      <c r="DJ25" s="58"/>
      <c r="DK25" s="59" t="str">
        <f>IF(AND($B$25="M",DJ25="WA"),"M",IF(AND($B$25="M",DJ25="EXC"),"M",IF(AND($B$25="F",DJ25="WA"),"F",IF(AND($B$25="F",DJ25="EXC"),"F","-"))))</f>
        <v>-</v>
      </c>
      <c r="DL25" s="61" t="str">
        <f t="shared" si="34"/>
        <v/>
      </c>
      <c r="DM25" s="61" t="str">
        <f t="shared" si="35"/>
        <v/>
      </c>
      <c r="DN25" s="65"/>
      <c r="DO25" s="47" t="str">
        <f>IF(AND($B$25="M",DN25="WA"),"M",IF(AND($B$25="M",DN25="EXC"),"M",IF(AND($B$25="F",DN25="WA"),"F",IF(AND($B$25="F",DN25="EXC"),"F","-"))))</f>
        <v>-</v>
      </c>
      <c r="DP25" s="68"/>
      <c r="DQ25" s="66"/>
      <c r="DR25" s="48"/>
      <c r="DS25" s="63"/>
      <c r="DT25" s="59" t="str">
        <f>IF(AND($B$25="M",DS25="WA"),"M",IF(AND($B$25="M",DS25="EXC"),"M",IF(AND($B$25="F",DS25="WA"),"F",IF(AND($B$25="F",DS25="EXC"),"F","-"))))</f>
        <v>-</v>
      </c>
      <c r="DU25" s="64" t="str">
        <f t="shared" si="36"/>
        <v/>
      </c>
      <c r="DV25" s="58"/>
      <c r="DW25" s="59" t="str">
        <f>IF(AND($B$25="M",DV25="WA"),"M",IF(AND($B$25="M",DV25="EXC"),"M",IF(AND($B$25="F",DV25="WA"),"F",IF(AND($B$25="F",DV25="EXC"),"F","-"))))</f>
        <v>-</v>
      </c>
      <c r="DX25" s="64" t="str">
        <f t="shared" si="37"/>
        <v/>
      </c>
      <c r="DY25" s="58"/>
      <c r="DZ25" s="59" t="str">
        <f>IF(AND($B$25="M",DY25="WA"),"M",IF(AND($B$25="M",DY25="EXC"),"M",IF(AND($B$25="F",DY25="WA"),"F",IF(AND($B$25="F",DY25="EXC"),"F","-"))))</f>
        <v>-</v>
      </c>
      <c r="EA25" s="64" t="str">
        <f t="shared" si="38"/>
        <v/>
      </c>
      <c r="EB25" s="58"/>
      <c r="EC25" s="59" t="str">
        <f>IF(AND($B$25="M",EB25="WA"),"M",IF(AND($B$25="M",EB25="EXC"),"M",IF(AND($B$25="F",EB25="WA"),"F",IF(AND($B$25="F",EB25="EXC"),"F","-"))))</f>
        <v>-</v>
      </c>
      <c r="ED25" s="64" t="str">
        <f t="shared" si="39"/>
        <v/>
      </c>
      <c r="EE25" s="58"/>
      <c r="EF25" s="59" t="str">
        <f>IF(AND($B$25="M",EE25="WA"),"M",IF(AND($B$25="M",EE25="EXC"),"M",IF(AND($B$25="F",EE25="WA"),"F",IF(AND($B$25="F",EE25="EXC"),"F","-"))))</f>
        <v>-</v>
      </c>
      <c r="EG25" s="61" t="str">
        <f t="shared" si="40"/>
        <v/>
      </c>
      <c r="EH25" s="58"/>
      <c r="EI25" s="59" t="str">
        <f>IF(AND($B$25="M",EH25="WA"),"M",IF(AND($B$25="M",EH25="EXC"),"M",IF(AND($B$25="F",EH25="WA"),"F",IF(AND($B$25="F",EH25="EXC"),"F","-"))))</f>
        <v>-</v>
      </c>
      <c r="EJ25" s="61" t="str">
        <f t="shared" si="41"/>
        <v/>
      </c>
      <c r="EK25" s="61" t="str">
        <f t="shared" si="42"/>
        <v/>
      </c>
      <c r="EL25" s="65"/>
      <c r="EM25" s="47" t="str">
        <f>IF(AND($B$25="M",EL25="WA"),"M",IF(AND($B$25="M",EL25="EXC"),"M",IF(AND($B$25="F",EL25="WA"),"F",IF(AND($B$25="F",EL25="EXC"),"F","-"))))</f>
        <v>-</v>
      </c>
      <c r="EN25" s="68"/>
      <c r="EO25" s="66"/>
      <c r="EP25" s="48"/>
      <c r="EQ25" s="63"/>
      <c r="ER25" s="59" t="str">
        <f>IF(AND($B$25="M",EQ25="WA"),"M",IF(AND($B$25="M",EQ25="EXC"),"M",IF(AND($B$25="F",EQ25="WA"),"F",IF(AND($B$25="F",EQ25="EXC"),"F","-"))))</f>
        <v>-</v>
      </c>
      <c r="ES25" s="64" t="str">
        <f t="shared" si="43"/>
        <v/>
      </c>
      <c r="ET25" s="58"/>
      <c r="EU25" s="59" t="str">
        <f>IF(AND($B$25="M",ET25="WA"),"M",IF(AND($B$25="M",ET25="EXC"),"M",IF(AND($B$25="F",ET25="WA"),"F",IF(AND($B$25="F",ET25="EXC"),"F","-"))))</f>
        <v>-</v>
      </c>
      <c r="EV25" s="64" t="str">
        <f t="shared" si="44"/>
        <v/>
      </c>
      <c r="EW25" s="58"/>
      <c r="EX25" s="59" t="str">
        <f>IF(AND($B$25="M",EW25="WA"),"M",IF(AND($B$25="M",EW25="EXC"),"M",IF(AND($B$25="F",EW25="WA"),"F",IF(AND($B$25="F",EW25="EXC"),"F","-"))))</f>
        <v>-</v>
      </c>
      <c r="EY25" s="64" t="str">
        <f t="shared" si="45"/>
        <v/>
      </c>
      <c r="EZ25" s="58"/>
      <c r="FA25" s="59" t="str">
        <f>IF(AND($B$25="M",EZ25="WA"),"M",IF(AND($B$25="M",EZ25="EXC"),"M",IF(AND($B$25="F",EZ25="WA"),"F",IF(AND($B$25="F",EZ25="EXC"),"F","-"))))</f>
        <v>-</v>
      </c>
      <c r="FB25" s="64" t="str">
        <f t="shared" si="46"/>
        <v/>
      </c>
      <c r="FC25" s="58"/>
      <c r="FD25" s="59" t="str">
        <f>IF(AND($B$25="M",FC25="WA"),"M",IF(AND($B$25="M",FC25="EXC"),"M",IF(AND($B$25="F",FC25="WA"),"F",IF(AND($B$25="F",FC25="EXC"),"F","-"))))</f>
        <v>-</v>
      </c>
      <c r="FE25" s="61" t="str">
        <f t="shared" si="47"/>
        <v/>
      </c>
      <c r="FF25" s="58"/>
      <c r="FG25" s="59" t="str">
        <f>IF(AND($B$25="M",FF25="WA"),"M",IF(AND($B$25="M",FF25="EXC"),"M",IF(AND($B$25="F",FF25="WA"),"F",IF(AND($B$25="F",FF25="EXC"),"F","-"))))</f>
        <v>-</v>
      </c>
      <c r="FH25" s="61" t="str">
        <f t="shared" si="48"/>
        <v/>
      </c>
      <c r="FI25" s="61" t="str">
        <f t="shared" si="49"/>
        <v/>
      </c>
      <c r="FJ25" s="65"/>
      <c r="FK25" s="47" t="str">
        <f>IF(AND($B$25="M",FJ25="WA"),"M",IF(AND($B$25="M",FJ25="EXC"),"M",IF(AND($B$25="F",FJ25="WA"),"F",IF(AND($B$25="F",FJ25="EXC"),"F","-"))))</f>
        <v>-</v>
      </c>
      <c r="FL25" s="68"/>
      <c r="FM25" s="66"/>
      <c r="FN25" s="48"/>
      <c r="FO25" s="63"/>
      <c r="FP25" s="59" t="str">
        <f>IF(AND($B$25="M",FO25="WA"),"M",IF(AND($B$25="M",FO25="EXC"),"M",IF(AND($B$25="F",FO25="WA"),"F",IF(AND($B$25="F",FO25="EXC"),"F","-"))))</f>
        <v>-</v>
      </c>
      <c r="FQ25" s="64" t="str">
        <f t="shared" si="50"/>
        <v/>
      </c>
      <c r="FR25" s="58"/>
      <c r="FS25" s="59" t="str">
        <f>IF(AND($B$25="M",FR25="WA"),"M",IF(AND($B$25="M",FR25="EXC"),"M",IF(AND($B$25="F",FR25="WA"),"F",IF(AND($B$25="F",FR25="EXC"),"F","-"))))</f>
        <v>-</v>
      </c>
      <c r="FT25" s="64" t="str">
        <f t="shared" si="51"/>
        <v/>
      </c>
      <c r="FU25" s="58"/>
      <c r="FV25" s="59" t="str">
        <f>IF(AND($B$25="M",FU25="WA"),"M",IF(AND($B$25="M",FU25="EXC"),"M",IF(AND($B$25="F",FU25="WA"),"F",IF(AND($B$25="F",FU25="EXC"),"F","-"))))</f>
        <v>-</v>
      </c>
      <c r="FW25" s="64" t="str">
        <f t="shared" si="52"/>
        <v/>
      </c>
      <c r="FX25" s="58"/>
      <c r="FY25" s="59" t="str">
        <f>IF(AND($B$25="M",FX25="WA"),"M",IF(AND($B$25="M",FX25="EXC"),"M",IF(AND($B$25="F",FX25="WA"),"F",IF(AND($B$25="F",FX25="EXC"),"F","-"))))</f>
        <v>-</v>
      </c>
      <c r="FZ25" s="64" t="str">
        <f t="shared" si="53"/>
        <v/>
      </c>
      <c r="GA25" s="58"/>
      <c r="GB25" s="59" t="str">
        <f>IF(AND($B$25="M",GA25="WA"),"M",IF(AND($B$25="M",GA25="EXC"),"M",IF(AND($B$25="F",GA25="WA"),"F",IF(AND($B$25="F",GA25="EXC"),"F","-"))))</f>
        <v>-</v>
      </c>
      <c r="GC25" s="61" t="str">
        <f t="shared" si="54"/>
        <v/>
      </c>
      <c r="GD25" s="58"/>
      <c r="GE25" s="59" t="str">
        <f>IF(AND($B$25="M",GD25="WA"),"M",IF(AND($B$25="M",GD25="EXC"),"M",IF(AND($B$25="F",GD25="WA"),"F",IF(AND($B$25="F",GD25="EXC"),"F","-"))))</f>
        <v>-</v>
      </c>
      <c r="GF25" s="61" t="str">
        <f t="shared" si="55"/>
        <v/>
      </c>
      <c r="GG25" s="61" t="str">
        <f t="shared" si="56"/>
        <v/>
      </c>
      <c r="GH25" s="65"/>
      <c r="GI25" s="47" t="str">
        <f>IF(AND($B$25="M",GH25="WA"),"M",IF(AND($B$25="M",GH25="EXC"),"M",IF(AND($B$25="F",GH25="WA"),"F",IF(AND($B$25="F",GH25="EXC"),"F","-"))))</f>
        <v>-</v>
      </c>
      <c r="GJ25" s="68"/>
      <c r="GK25" s="66"/>
      <c r="GL25" s="48"/>
      <c r="GM25" s="63"/>
      <c r="GN25" s="59" t="str">
        <f>IF(AND($B$25="M",GM25="WA"),"M",IF(AND($B$25="M",GM25="EXC"),"M",IF(AND($B$25="F",GM25="WA"),"F",IF(AND($B$25="F",GM25="EXC"),"F","-"))))</f>
        <v>-</v>
      </c>
      <c r="GO25" s="64" t="str">
        <f t="shared" si="57"/>
        <v/>
      </c>
      <c r="GP25" s="58"/>
      <c r="GQ25" s="59" t="str">
        <f>IF(AND($B$25="M",GP25="WA"),"M",IF(AND($B$25="M",GP25="EXC"),"M",IF(AND($B$25="F",GP25="WA"),"F",IF(AND($B$25="F",GP25="EXC"),"F","-"))))</f>
        <v>-</v>
      </c>
      <c r="GR25" s="64" t="str">
        <f t="shared" si="58"/>
        <v/>
      </c>
      <c r="GS25" s="58"/>
      <c r="GT25" s="59" t="str">
        <f>IF(AND($B$25="M",GS25="WA"),"M",IF(AND($B$25="M",GS25="EXC"),"M",IF(AND($B$25="F",GS25="WA"),"F",IF(AND($B$25="F",GS25="EXC"),"F","-"))))</f>
        <v>-</v>
      </c>
      <c r="GU25" s="64" t="str">
        <f t="shared" si="59"/>
        <v/>
      </c>
      <c r="GV25" s="61" t="str">
        <f t="shared" si="60"/>
        <v/>
      </c>
      <c r="GW25" s="65"/>
      <c r="GX25" s="47" t="str">
        <f>IF(AND($B$25="M",GW25="WA"),"M",IF(AND($B$25="M",GW25="EXC"),"M",IF(AND($B$25="F",GW25="WA"),"F",IF(AND($B$25="F",GW25="EXC"),"F","-"))))</f>
        <v>-</v>
      </c>
      <c r="GY25" s="68"/>
      <c r="GZ25" s="66"/>
      <c r="HA25" s="48"/>
      <c r="HB25" s="63"/>
      <c r="HC25" s="59" t="str">
        <f>IF(AND($B$25="M",HB25="WA"),"M",IF(AND($B$25="M",HB25="EXC"),"M",IF(AND($B$25="F",HB25="WA"),"F",IF(AND($B$25="F",HB25="EXC"),"F","-"))))</f>
        <v>-</v>
      </c>
      <c r="HD25" s="64" t="str">
        <f t="shared" si="61"/>
        <v/>
      </c>
      <c r="HE25" s="58"/>
      <c r="HF25" s="59" t="str">
        <f>IF(AND($B$25="M",HE25="WA"),"M",IF(AND($B$25="M",HE25="EXC"),"M",IF(AND($B$25="F",HE25="WA"),"F",IF(AND($B$25="F",HE25="EXC"),"F","-"))))</f>
        <v>-</v>
      </c>
      <c r="HG25" s="64" t="str">
        <f t="shared" si="62"/>
        <v/>
      </c>
      <c r="HH25" s="58"/>
      <c r="HI25" s="59" t="str">
        <f>IF(AND($B$25="M",HH25="WA"),"M",IF(AND($B$25="M",HH25="EXC"),"M",IF(AND($B$25="F",HH25="WA"),"F",IF(AND($B$25="F",HH25="EXC"),"F","-"))))</f>
        <v>-</v>
      </c>
      <c r="HJ25" s="64" t="str">
        <f t="shared" si="63"/>
        <v/>
      </c>
      <c r="HK25" s="61" t="str">
        <f t="shared" si="64"/>
        <v/>
      </c>
      <c r="HL25" s="65"/>
      <c r="HM25" s="47" t="str">
        <f>IF(AND($B$25="M",HL25="WA"),"M",IF(AND($B$25="M",HL25="EXC"),"M",IF(AND($B$25="F",HL25="WA"),"F",IF(AND($B$25="F",HL25="EXC"),"F","-"))))</f>
        <v>-</v>
      </c>
      <c r="HN25" s="13"/>
      <c r="HO25" s="14"/>
      <c r="HP25" s="15"/>
      <c r="HQ25" s="54"/>
      <c r="HR25" s="55" t="str">
        <f>IF(AND($B$25="M",HQ25="WA"),"M",IF(AND($B$25="M",HQ25="EXC"),"M",IF(AND($B$25="F",HQ25="WA"),"F",IF(AND($B$25="F",HQ25="EXC"),"F","-"))))</f>
        <v>-</v>
      </c>
      <c r="HS25" s="56" t="str">
        <f t="shared" si="65"/>
        <v/>
      </c>
      <c r="HT25" s="54"/>
      <c r="HU25" s="55" t="str">
        <f>IF(AND($B$25="M",HT25="WA"),"M",IF(AND($B$25="M",HT25="EXC"),"M",IF(AND($B$25="F",HT25="WA"),"F",IF(AND($B$25="F",HT25="EXC"),"F","-"))))</f>
        <v>-</v>
      </c>
      <c r="HV25" s="56" t="str">
        <f t="shared" si="66"/>
        <v/>
      </c>
      <c r="HW25" s="54"/>
      <c r="HX25" s="55" t="str">
        <f>IF(AND($B$25="M",HW25="WA"),"M",IF(AND($B$25="M",HW25="EXC"),"M",IF(AND($B$25="F",HW25="WA"),"F",IF(AND($B$25="F",HW25="EXC"),"F","-"))))</f>
        <v>-</v>
      </c>
      <c r="HY25" s="56" t="str">
        <f t="shared" si="67"/>
        <v/>
      </c>
      <c r="HZ25" s="54" t="str">
        <f t="shared" si="68"/>
        <v/>
      </c>
      <c r="IA25" s="67"/>
      <c r="IB25" s="55" t="str">
        <f>IF(AND($B$25="M",IA25="WA"),"M",IF(AND($B$25="M",IA25="EXC"),"M",IF(AND($B$25="F",IA25="WA"),"F",IF(AND($B$25="F",IA25="EXC"),"F","-"))))</f>
        <v>-</v>
      </c>
      <c r="IC25" s="17"/>
    </row>
    <row r="26">
      <c r="A26" s="40"/>
      <c r="B26" s="41"/>
      <c r="C26" s="69"/>
      <c r="D26" s="59" t="str">
        <f>IF(AND($B$26="M",C26="WA"),"M",IF(AND($B$26="M",C26="EXC"),"M",IF(AND($B$26="F",C26="WA"),"F",IF(AND($B$26="F",C26="EXC"),"F","-"))))</f>
        <v>-</v>
      </c>
      <c r="E26" s="60" t="str">
        <f t="shared" si="1"/>
        <v/>
      </c>
      <c r="F26" s="69"/>
      <c r="G26" s="59" t="str">
        <f>IF(AND($B$26="M",F26="WA"),"M",IF(AND($B$26="M",F26="EXC"),"M",IF(AND($B$26="F",F26="WA"),"F",IF(AND($B$26="F",F26="EXC"),"F","-"))))</f>
        <v>-</v>
      </c>
      <c r="H26" s="60" t="str">
        <f t="shared" si="2"/>
        <v/>
      </c>
      <c r="I26" s="69"/>
      <c r="J26" s="59" t="str">
        <f>IF(AND($B$26="M",I26="WA"),"M",IF(AND($B$26="M",I26="EXC"),"M",IF(AND($B$26="F",I26="WA"),"F",IF(AND($B$26="F",I26="EXC"),"F","-"))))</f>
        <v>-</v>
      </c>
      <c r="K26" s="60" t="str">
        <f t="shared" si="3"/>
        <v/>
      </c>
      <c r="L26" s="69"/>
      <c r="M26" s="59" t="str">
        <f>IF(AND($B$26="M",L26="WA"),"M",IF(AND($B$26="M",L26="EXC"),"M",IF(AND($B$26="F",L26="WA"),"F",IF(AND($B$26="F",L26="EXC"),"F","-"))))</f>
        <v>-</v>
      </c>
      <c r="N26" s="60" t="str">
        <f t="shared" si="4"/>
        <v/>
      </c>
      <c r="O26" s="69"/>
      <c r="P26" s="59" t="str">
        <f>IF(AND($B$26="M",O26="WA"),"M",IF(AND($B$26="M",O26="EXC"),"M",IF(AND($B$26="F",O26="WA"),"F",IF(AND($B$26="F",O26="EXC"),"F","-"))))</f>
        <v>-</v>
      </c>
      <c r="Q26" s="60" t="str">
        <f t="shared" si="5"/>
        <v/>
      </c>
      <c r="R26" s="69"/>
      <c r="S26" s="59" t="str">
        <f>IF(AND($B$26="M",R26="WA"),"M",IF(AND($B$26="M",R26="EXC"),"M",IF(AND($B$26="F",R26="WA"),"F",IF(AND($B$26="F",R26="EXC"),"F","-"))))</f>
        <v>-</v>
      </c>
      <c r="T26" s="60" t="str">
        <f t="shared" si="6"/>
        <v/>
      </c>
      <c r="U26" s="61" t="str">
        <f t="shared" si="7"/>
        <v/>
      </c>
      <c r="V26" s="62"/>
      <c r="W26" s="47" t="str">
        <f>IF(AND($B$26="M",V26="WA"),"M",IF(AND($B$26="M",V26="EXC"),"M",IF(AND($B$26="F",V26="WA"),"F",IF(AND($B$26="F",V26="EXC"),"F","-"))))</f>
        <v>-</v>
      </c>
      <c r="X26" s="48"/>
      <c r="Y26" s="49"/>
      <c r="Z26" s="48"/>
      <c r="AA26" s="70"/>
      <c r="AB26" s="59" t="str">
        <f>IF(AND($B$26="M",AA26="WA"),"M",IF(AND($B$26="M",AA26="EXC"),"M",IF(AND($B$26="F",AA26="WA"),"F",IF(AND($B$26="F",AA26="EXC"),"F","-"))))</f>
        <v>-</v>
      </c>
      <c r="AC26" s="64" t="str">
        <f t="shared" si="8"/>
        <v/>
      </c>
      <c r="AD26" s="69"/>
      <c r="AE26" s="59" t="str">
        <f>IF(AND($B$26="M",AD26="WA"),"M",IF(AND($B$26="M",AD26="EXC"),"M",IF(AND($B$26="F",AD26="WA"),"F",IF(AND($B$26="F",AD26="EXC"),"F","-"))))</f>
        <v>-</v>
      </c>
      <c r="AF26" s="64" t="str">
        <f t="shared" si="9"/>
        <v/>
      </c>
      <c r="AG26" s="69"/>
      <c r="AH26" s="59" t="str">
        <f>IF(AND($B$26="M",AG26="WA"),"M",IF(AND($B$26="M",AG26="EXC"),"M",IF(AND($B$26="F",AG26="WA"),"F",IF(AND($B$26="F",AG26="EXC"),"F","-"))))</f>
        <v>-</v>
      </c>
      <c r="AI26" s="64" t="str">
        <f t="shared" si="10"/>
        <v/>
      </c>
      <c r="AJ26" s="69"/>
      <c r="AK26" s="59" t="str">
        <f>IF(AND($B$26="M",AJ26="WA"),"M",IF(AND($B$26="M",AJ26="EXC"),"M",IF(AND($B$26="F",AJ26="WA"),"F",IF(AND($B$26="F",AJ26="EXC"),"F","-"))))</f>
        <v>-</v>
      </c>
      <c r="AL26" s="64" t="str">
        <f t="shared" si="11"/>
        <v/>
      </c>
      <c r="AM26" s="69"/>
      <c r="AN26" s="59" t="str">
        <f>IF(AND($B$26="M",AM26="WA"),"M",IF(AND($B$26="M",AM26="EXC"),"M",IF(AND($B$26="F",AM26="WA"),"F",IF(AND($B$26="F",AM26="EXC"),"F","-"))))</f>
        <v>-</v>
      </c>
      <c r="AO26" s="61" t="str">
        <f t="shared" si="12"/>
        <v/>
      </c>
      <c r="AP26" s="69"/>
      <c r="AQ26" s="59" t="str">
        <f>IF(AND($B$26="M",AP26="WA"),"M",IF(AND($B$26="M",AP26="EXC"),"M",IF(AND($B$26="F",AP26="WA"),"F",IF(AND($B$26="F",AP26="EXC"),"F","-"))))</f>
        <v>-</v>
      </c>
      <c r="AR26" s="61" t="str">
        <f t="shared" si="13"/>
        <v/>
      </c>
      <c r="AS26" s="61" t="str">
        <f t="shared" si="14"/>
        <v/>
      </c>
      <c r="AT26" s="65"/>
      <c r="AU26" s="47" t="str">
        <f>IF(AND($B$26="M",AT26="WA"),"M",IF(AND($B$26="M",AT26="EXC"),"M",IF(AND($B$26="F",AT26="WA"),"F",IF(AND($B$26="F",AT26="EXC"),"F","-"))))</f>
        <v>-</v>
      </c>
      <c r="AV26" s="68"/>
      <c r="AW26" s="66"/>
      <c r="AX26" s="48"/>
      <c r="AY26" s="70"/>
      <c r="AZ26" s="59" t="str">
        <f>IF(AND($B$26="M",AY26="WA"),"M",IF(AND($B$26="M",AY26="EXC"),"M",IF(AND($B$26="F",AY26="WA"),"F",IF(AND($B$26="F",AY26="EXC"),"F","-"))))</f>
        <v>-</v>
      </c>
      <c r="BA26" s="64" t="str">
        <f t="shared" si="15"/>
        <v/>
      </c>
      <c r="BB26" s="69"/>
      <c r="BC26" s="59" t="str">
        <f>IF(AND($B$26="M",BB26="WA"),"M",IF(AND($B$26="M",BB26="EXC"),"M",IF(AND($B$26="F",BB26="WA"),"F",IF(AND($B$26="F",BB26="EXC"),"F","-"))))</f>
        <v>-</v>
      </c>
      <c r="BD26" s="64" t="str">
        <f t="shared" si="16"/>
        <v/>
      </c>
      <c r="BE26" s="69"/>
      <c r="BF26" s="59" t="str">
        <f>IF(AND($B$26="M",BE26="WA"),"M",IF(AND($B$26="M",BE26="EXC"),"M",IF(AND($B$26="F",BE26="WA"),"F",IF(AND($B$26="F",BE26="EXC"),"F","-"))))</f>
        <v>-</v>
      </c>
      <c r="BG26" s="64" t="str">
        <f t="shared" si="17"/>
        <v/>
      </c>
      <c r="BH26" s="69"/>
      <c r="BI26" s="59" t="str">
        <f>IF(AND($B$26="M",BH26="WA"),"M",IF(AND($B$26="M",BH26="EXC"),"M",IF(AND($B$26="F",BH26="WA"),"F",IF(AND($B$26="F",BH26="EXC"),"F","-"))))</f>
        <v>-</v>
      </c>
      <c r="BJ26" s="64" t="str">
        <f t="shared" si="18"/>
        <v/>
      </c>
      <c r="BK26" s="69"/>
      <c r="BL26" s="59" t="str">
        <f>IF(AND($B$26="M",BK26="WA"),"M",IF(AND($B$26="M",BK26="EXC"),"M",IF(AND($B$26="F",BK26="WA"),"F",IF(AND($B$26="F",BK26="EXC"),"F","-"))))</f>
        <v>-</v>
      </c>
      <c r="BM26" s="61" t="str">
        <f t="shared" si="19"/>
        <v/>
      </c>
      <c r="BN26" s="69"/>
      <c r="BO26" s="59" t="str">
        <f>IF(AND($B$26="M",BN26="WA"),"M",IF(AND($B$26="M",BN26="EXC"),"M",IF(AND($B$26="F",BN26="WA"),"F",IF(AND($B$26="F",BN26="EXC"),"F","-"))))</f>
        <v>-</v>
      </c>
      <c r="BP26" s="61" t="str">
        <f t="shared" si="20"/>
        <v/>
      </c>
      <c r="BQ26" s="61" t="str">
        <f t="shared" si="21"/>
        <v/>
      </c>
      <c r="BR26" s="65"/>
      <c r="BS26" s="47" t="str">
        <f>IF(AND($B$26="M",BR26="WA"),"M",IF(AND($B$26="M",BR26="EXC"),"M",IF(AND($B$26="F",BR26="WA"),"F",IF(AND($B$26="F",BR26="EXC"),"F","-"))))</f>
        <v>-</v>
      </c>
      <c r="BT26" s="68"/>
      <c r="BU26" s="66"/>
      <c r="BV26" s="48"/>
      <c r="BW26" s="70"/>
      <c r="BX26" s="59" t="str">
        <f>IF(AND($B$26="M",BW26="WA"),"M",IF(AND($B$26="M",BW26="EXC"),"M",IF(AND($B$26="F",BW26="WA"),"F",IF(AND($B$26="F",BW26="EXC"),"F","-"))))</f>
        <v>-</v>
      </c>
      <c r="BY26" s="64" t="str">
        <f t="shared" si="22"/>
        <v/>
      </c>
      <c r="BZ26" s="69"/>
      <c r="CA26" s="59" t="str">
        <f>IF(AND($B$26="M",BZ26="WA"),"M",IF(AND($B$26="M",BZ26="EXC"),"M",IF(AND($B$26="F",BZ26="WA"),"F",IF(AND($B$26="F",BZ26="EXC"),"F","-"))))</f>
        <v>-</v>
      </c>
      <c r="CB26" s="64" t="str">
        <f t="shared" si="23"/>
        <v/>
      </c>
      <c r="CC26" s="69"/>
      <c r="CD26" s="59" t="str">
        <f>IF(AND($B$26="M",CC26="WA"),"M",IF(AND($B$26="M",CC26="EXC"),"M",IF(AND($B$26="F",CC26="WA"),"F",IF(AND($B$26="F",CC26="EXC"),"F","-"))))</f>
        <v>-</v>
      </c>
      <c r="CE26" s="64" t="str">
        <f t="shared" si="24"/>
        <v/>
      </c>
      <c r="CF26" s="69"/>
      <c r="CG26" s="59" t="str">
        <f>IF(AND($B$26="M",CF26="WA"),"M",IF(AND($B$26="M",CF26="EXC"),"M",IF(AND($B$26="F",CF26="WA"),"F",IF(AND($B$26="F",CF26="EXC"),"F","-"))))</f>
        <v>-</v>
      </c>
      <c r="CH26" s="64" t="str">
        <f t="shared" si="25"/>
        <v/>
      </c>
      <c r="CI26" s="69"/>
      <c r="CJ26" s="59" t="str">
        <f>IF(AND($B$26="M",CI26="WA"),"M",IF(AND($B$26="M",CI26="EXC"),"M",IF(AND($B$26="F",CI26="WA"),"F",IF(AND($B$26="F",CI26="EXC"),"F","-"))))</f>
        <v>-</v>
      </c>
      <c r="CK26" s="61" t="str">
        <f t="shared" si="26"/>
        <v/>
      </c>
      <c r="CL26" s="69"/>
      <c r="CM26" s="59" t="str">
        <f>IF(AND($B$26="M",CL26="WA"),"M",IF(AND($B$26="M",CL26="EXC"),"M",IF(AND($B$26="F",CL26="WA"),"F",IF(AND($B$26="F",CL26="EXC"),"F","-"))))</f>
        <v>-</v>
      </c>
      <c r="CN26" s="61" t="str">
        <f t="shared" si="27"/>
        <v/>
      </c>
      <c r="CO26" s="61" t="str">
        <f t="shared" si="28"/>
        <v/>
      </c>
      <c r="CP26" s="65"/>
      <c r="CQ26" s="47" t="str">
        <f>IF(AND($B$26="M",CP26="WA"),"M",IF(AND($B$26="M",CP26="EXC"),"M",IF(AND($B$26="F",CP26="WA"),"F",IF(AND($B$26="F",CP26="EXC"),"F","-"))))</f>
        <v>-</v>
      </c>
      <c r="CR26" s="68"/>
      <c r="CS26" s="66"/>
      <c r="CT26" s="48"/>
      <c r="CU26" s="70"/>
      <c r="CV26" s="59" t="str">
        <f>IF(AND($B$26="M",CU26="WA"),"M",IF(AND($B$26="M",CU26="EXC"),"M",IF(AND($B$26="F",CU26="WA"),"F",IF(AND($B$26="F",CU26="EXC"),"F","-"))))</f>
        <v>-</v>
      </c>
      <c r="CW26" s="64" t="str">
        <f t="shared" si="29"/>
        <v/>
      </c>
      <c r="CX26" s="69"/>
      <c r="CY26" s="59" t="str">
        <f>IF(AND($B$26="M",CX26="WA"),"M",IF(AND($B$26="M",CX26="EXC"),"M",IF(AND($B$26="F",CX26="WA"),"F",IF(AND($B$26="F",CX26="EXC"),"F","-"))))</f>
        <v>-</v>
      </c>
      <c r="CZ26" s="64" t="str">
        <f t="shared" si="30"/>
        <v/>
      </c>
      <c r="DA26" s="69"/>
      <c r="DB26" s="59" t="str">
        <f>IF(AND($B$26="M",DA26="WA"),"M",IF(AND($B$26="M",DA26="EXC"),"M",IF(AND($B$26="F",DA26="WA"),"F",IF(AND($B$26="F",DA26="EXC"),"F","-"))))</f>
        <v>-</v>
      </c>
      <c r="DC26" s="64" t="str">
        <f t="shared" si="31"/>
        <v/>
      </c>
      <c r="DD26" s="69"/>
      <c r="DE26" s="59" t="str">
        <f>IF(AND($B$26="M",DD26="WA"),"M",IF(AND($B$26="M",DD26="EXC"),"M",IF(AND($B$26="F",DD26="WA"),"F",IF(AND($B$26="F",DD26="EXC"),"F","-"))))</f>
        <v>-</v>
      </c>
      <c r="DF26" s="64" t="str">
        <f t="shared" si="32"/>
        <v/>
      </c>
      <c r="DG26" s="69"/>
      <c r="DH26" s="59" t="str">
        <f>IF(AND($B$26="M",DG26="WA"),"M",IF(AND($B$26="M",DG26="EXC"),"M",IF(AND($B$26="F",DG26="WA"),"F",IF(AND($B$26="F",DG26="EXC"),"F","-"))))</f>
        <v>-</v>
      </c>
      <c r="DI26" s="61" t="str">
        <f t="shared" si="33"/>
        <v/>
      </c>
      <c r="DJ26" s="69"/>
      <c r="DK26" s="59" t="str">
        <f>IF(AND($B$26="M",DJ26="WA"),"M",IF(AND($B$26="M",DJ26="EXC"),"M",IF(AND($B$26="F",DJ26="WA"),"F",IF(AND($B$26="F",DJ26="EXC"),"F","-"))))</f>
        <v>-</v>
      </c>
      <c r="DL26" s="61" t="str">
        <f t="shared" si="34"/>
        <v/>
      </c>
      <c r="DM26" s="61" t="str">
        <f t="shared" si="35"/>
        <v/>
      </c>
      <c r="DN26" s="65"/>
      <c r="DO26" s="47" t="str">
        <f>IF(AND($B$26="M",DN26="WA"),"M",IF(AND($B$26="M",DN26="EXC"),"M",IF(AND($B$26="F",DN26="WA"),"F",IF(AND($B$26="F",DN26="EXC"),"F","-"))))</f>
        <v>-</v>
      </c>
      <c r="DP26" s="68"/>
      <c r="DQ26" s="66"/>
      <c r="DR26" s="48"/>
      <c r="DS26" s="70"/>
      <c r="DT26" s="59" t="str">
        <f>IF(AND($B$26="M",DS26="WA"),"M",IF(AND($B$26="M",DS26="EXC"),"M",IF(AND($B$26="F",DS26="WA"),"F",IF(AND($B$26="F",DS26="EXC"),"F","-"))))</f>
        <v>-</v>
      </c>
      <c r="DU26" s="64" t="str">
        <f t="shared" si="36"/>
        <v/>
      </c>
      <c r="DV26" s="69"/>
      <c r="DW26" s="59" t="str">
        <f>IF(AND($B$26="M",DV26="WA"),"M",IF(AND($B$26="M",DV26="EXC"),"M",IF(AND($B$26="F",DV26="WA"),"F",IF(AND($B$26="F",DV26="EXC"),"F","-"))))</f>
        <v>-</v>
      </c>
      <c r="DX26" s="64" t="str">
        <f t="shared" si="37"/>
        <v/>
      </c>
      <c r="DY26" s="69"/>
      <c r="DZ26" s="59" t="str">
        <f>IF(AND($B$26="M",DY26="WA"),"M",IF(AND($B$26="M",DY26="EXC"),"M",IF(AND($B$26="F",DY26="WA"),"F",IF(AND($B$26="F",DY26="EXC"),"F","-"))))</f>
        <v>-</v>
      </c>
      <c r="EA26" s="64" t="str">
        <f t="shared" si="38"/>
        <v/>
      </c>
      <c r="EB26" s="69"/>
      <c r="EC26" s="59" t="str">
        <f>IF(AND($B$26="M",EB26="WA"),"M",IF(AND($B$26="M",EB26="EXC"),"M",IF(AND($B$26="F",EB26="WA"),"F",IF(AND($B$26="F",EB26="EXC"),"F","-"))))</f>
        <v>-</v>
      </c>
      <c r="ED26" s="64" t="str">
        <f t="shared" si="39"/>
        <v/>
      </c>
      <c r="EE26" s="69"/>
      <c r="EF26" s="59" t="str">
        <f>IF(AND($B$26="M",EE26="WA"),"M",IF(AND($B$26="M",EE26="EXC"),"M",IF(AND($B$26="F",EE26="WA"),"F",IF(AND($B$26="F",EE26="EXC"),"F","-"))))</f>
        <v>-</v>
      </c>
      <c r="EG26" s="61" t="str">
        <f t="shared" si="40"/>
        <v/>
      </c>
      <c r="EH26" s="69"/>
      <c r="EI26" s="59" t="str">
        <f>IF(AND($B$26="M",EH26="WA"),"M",IF(AND($B$26="M",EH26="EXC"),"M",IF(AND($B$26="F",EH26="WA"),"F",IF(AND($B$26="F",EH26="EXC"),"F","-"))))</f>
        <v>-</v>
      </c>
      <c r="EJ26" s="61" t="str">
        <f t="shared" si="41"/>
        <v/>
      </c>
      <c r="EK26" s="61" t="str">
        <f t="shared" si="42"/>
        <v/>
      </c>
      <c r="EL26" s="65"/>
      <c r="EM26" s="47" t="str">
        <f>IF(AND($B$26="M",EL26="WA"),"M",IF(AND($B$26="M",EL26="EXC"),"M",IF(AND($B$26="F",EL26="WA"),"F",IF(AND($B$26="F",EL26="EXC"),"F","-"))))</f>
        <v>-</v>
      </c>
      <c r="EN26" s="68"/>
      <c r="EO26" s="66"/>
      <c r="EP26" s="48"/>
      <c r="EQ26" s="70"/>
      <c r="ER26" s="59" t="str">
        <f>IF(AND($B$26="M",EQ26="WA"),"M",IF(AND($B$26="M",EQ26="EXC"),"M",IF(AND($B$26="F",EQ26="WA"),"F",IF(AND($B$26="F",EQ26="EXC"),"F","-"))))</f>
        <v>-</v>
      </c>
      <c r="ES26" s="64" t="str">
        <f t="shared" si="43"/>
        <v/>
      </c>
      <c r="ET26" s="69"/>
      <c r="EU26" s="59" t="str">
        <f>IF(AND($B$26="M",ET26="WA"),"M",IF(AND($B$26="M",ET26="EXC"),"M",IF(AND($B$26="F",ET26="WA"),"F",IF(AND($B$26="F",ET26="EXC"),"F","-"))))</f>
        <v>-</v>
      </c>
      <c r="EV26" s="64" t="str">
        <f t="shared" si="44"/>
        <v/>
      </c>
      <c r="EW26" s="69"/>
      <c r="EX26" s="59" t="str">
        <f>IF(AND($B$26="M",EW26="WA"),"M",IF(AND($B$26="M",EW26="EXC"),"M",IF(AND($B$26="F",EW26="WA"),"F",IF(AND($B$26="F",EW26="EXC"),"F","-"))))</f>
        <v>-</v>
      </c>
      <c r="EY26" s="64" t="str">
        <f t="shared" si="45"/>
        <v/>
      </c>
      <c r="EZ26" s="69"/>
      <c r="FA26" s="59" t="str">
        <f>IF(AND($B$26="M",EZ26="WA"),"M",IF(AND($B$26="M",EZ26="EXC"),"M",IF(AND($B$26="F",EZ26="WA"),"F",IF(AND($B$26="F",EZ26="EXC"),"F","-"))))</f>
        <v>-</v>
      </c>
      <c r="FB26" s="64" t="str">
        <f t="shared" si="46"/>
        <v/>
      </c>
      <c r="FC26" s="69"/>
      <c r="FD26" s="59" t="str">
        <f>IF(AND($B$26="M",FC26="WA"),"M",IF(AND($B$26="M",FC26="EXC"),"M",IF(AND($B$26="F",FC26="WA"),"F",IF(AND($B$26="F",FC26="EXC"),"F","-"))))</f>
        <v>-</v>
      </c>
      <c r="FE26" s="61" t="str">
        <f t="shared" si="47"/>
        <v/>
      </c>
      <c r="FF26" s="69"/>
      <c r="FG26" s="59" t="str">
        <f>IF(AND($B$26="M",FF26="WA"),"M",IF(AND($B$26="M",FF26="EXC"),"M",IF(AND($B$26="F",FF26="WA"),"F",IF(AND($B$26="F",FF26="EXC"),"F","-"))))</f>
        <v>-</v>
      </c>
      <c r="FH26" s="61" t="str">
        <f t="shared" si="48"/>
        <v/>
      </c>
      <c r="FI26" s="61" t="str">
        <f t="shared" si="49"/>
        <v/>
      </c>
      <c r="FJ26" s="65"/>
      <c r="FK26" s="47" t="str">
        <f>IF(AND($B$26="M",FJ26="WA"),"M",IF(AND($B$26="M",FJ26="EXC"),"M",IF(AND($B$26="F",FJ26="WA"),"F",IF(AND($B$26="F",FJ26="EXC"),"F","-"))))</f>
        <v>-</v>
      </c>
      <c r="FL26" s="68"/>
      <c r="FM26" s="66"/>
      <c r="FN26" s="48"/>
      <c r="FO26" s="70"/>
      <c r="FP26" s="59" t="str">
        <f>IF(AND($B$26="M",FO26="WA"),"M",IF(AND($B$26="M",FO26="EXC"),"M",IF(AND($B$26="F",FO26="WA"),"F",IF(AND($B$26="F",FO26="EXC"),"F","-"))))</f>
        <v>-</v>
      </c>
      <c r="FQ26" s="64" t="str">
        <f t="shared" si="50"/>
        <v/>
      </c>
      <c r="FR26" s="69"/>
      <c r="FS26" s="59" t="str">
        <f>IF(AND($B$26="M",FR26="WA"),"M",IF(AND($B$26="M",FR26="EXC"),"M",IF(AND($B$26="F",FR26="WA"),"F",IF(AND($B$26="F",FR26="EXC"),"F","-"))))</f>
        <v>-</v>
      </c>
      <c r="FT26" s="64" t="str">
        <f t="shared" si="51"/>
        <v/>
      </c>
      <c r="FU26" s="69"/>
      <c r="FV26" s="59" t="str">
        <f>IF(AND($B$26="M",FU26="WA"),"M",IF(AND($B$26="M",FU26="EXC"),"M",IF(AND($B$26="F",FU26="WA"),"F",IF(AND($B$26="F",FU26="EXC"),"F","-"))))</f>
        <v>-</v>
      </c>
      <c r="FW26" s="64" t="str">
        <f t="shared" si="52"/>
        <v/>
      </c>
      <c r="FX26" s="69"/>
      <c r="FY26" s="59" t="str">
        <f>IF(AND($B$26="M",FX26="WA"),"M",IF(AND($B$26="M",FX26="EXC"),"M",IF(AND($B$26="F",FX26="WA"),"F",IF(AND($B$26="F",FX26="EXC"),"F","-"))))</f>
        <v>-</v>
      </c>
      <c r="FZ26" s="64" t="str">
        <f t="shared" si="53"/>
        <v/>
      </c>
      <c r="GA26" s="69"/>
      <c r="GB26" s="59" t="str">
        <f>IF(AND($B$26="M",GA26="WA"),"M",IF(AND($B$26="M",GA26="EXC"),"M",IF(AND($B$26="F",GA26="WA"),"F",IF(AND($B$26="F",GA26="EXC"),"F","-"))))</f>
        <v>-</v>
      </c>
      <c r="GC26" s="61" t="str">
        <f t="shared" si="54"/>
        <v/>
      </c>
      <c r="GD26" s="69"/>
      <c r="GE26" s="59" t="str">
        <f>IF(AND($B$26="M",GD26="WA"),"M",IF(AND($B$26="M",GD26="EXC"),"M",IF(AND($B$26="F",GD26="WA"),"F",IF(AND($B$26="F",GD26="EXC"),"F","-"))))</f>
        <v>-</v>
      </c>
      <c r="GF26" s="61" t="str">
        <f t="shared" si="55"/>
        <v/>
      </c>
      <c r="GG26" s="61" t="str">
        <f t="shared" si="56"/>
        <v/>
      </c>
      <c r="GH26" s="65"/>
      <c r="GI26" s="47" t="str">
        <f>IF(AND($B$26="M",GH26="WA"),"M",IF(AND($B$26="M",GH26="EXC"),"M",IF(AND($B$26="F",GH26="WA"),"F",IF(AND($B$26="F",GH26="EXC"),"F","-"))))</f>
        <v>-</v>
      </c>
      <c r="GJ26" s="68"/>
      <c r="GK26" s="66"/>
      <c r="GL26" s="48"/>
      <c r="GM26" s="70"/>
      <c r="GN26" s="59" t="str">
        <f>IF(AND($B$26="M",GM26="WA"),"M",IF(AND($B$26="M",GM26="EXC"),"M",IF(AND($B$26="F",GM26="WA"),"F",IF(AND($B$26="F",GM26="EXC"),"F","-"))))</f>
        <v>-</v>
      </c>
      <c r="GO26" s="64" t="str">
        <f t="shared" si="57"/>
        <v/>
      </c>
      <c r="GP26" s="69"/>
      <c r="GQ26" s="59" t="str">
        <f>IF(AND($B$26="M",GP26="WA"),"M",IF(AND($B$26="M",GP26="EXC"),"M",IF(AND($B$26="F",GP26="WA"),"F",IF(AND($B$26="F",GP26="EXC"),"F","-"))))</f>
        <v>-</v>
      </c>
      <c r="GR26" s="64" t="str">
        <f t="shared" si="58"/>
        <v/>
      </c>
      <c r="GS26" s="69"/>
      <c r="GT26" s="59" t="str">
        <f>IF(AND($B$26="M",GS26="WA"),"M",IF(AND($B$26="M",GS26="EXC"),"M",IF(AND($B$26="F",GS26="WA"),"F",IF(AND($B$26="F",GS26="EXC"),"F","-"))))</f>
        <v>-</v>
      </c>
      <c r="GU26" s="64" t="str">
        <f t="shared" si="59"/>
        <v/>
      </c>
      <c r="GV26" s="61" t="str">
        <f t="shared" si="60"/>
        <v/>
      </c>
      <c r="GW26" s="65"/>
      <c r="GX26" s="47" t="str">
        <f>IF(AND($B$26="M",GW26="WA"),"M",IF(AND($B$26="M",GW26="EXC"),"M",IF(AND($B$26="F",GW26="WA"),"F",IF(AND($B$26="F",GW26="EXC"),"F","-"))))</f>
        <v>-</v>
      </c>
      <c r="GY26" s="68"/>
      <c r="GZ26" s="66"/>
      <c r="HA26" s="48"/>
      <c r="HB26" s="70"/>
      <c r="HC26" s="59" t="str">
        <f>IF(AND($B$26="M",HB26="WA"),"M",IF(AND($B$26="M",HB26="EXC"),"M",IF(AND($B$26="F",HB26="WA"),"F",IF(AND($B$26="F",HB26="EXC"),"F","-"))))</f>
        <v>-</v>
      </c>
      <c r="HD26" s="64" t="str">
        <f t="shared" si="61"/>
        <v/>
      </c>
      <c r="HE26" s="69"/>
      <c r="HF26" s="59" t="str">
        <f>IF(AND($B$26="M",HE26="WA"),"M",IF(AND($B$26="M",HE26="EXC"),"M",IF(AND($B$26="F",HE26="WA"),"F",IF(AND($B$26="F",HE26="EXC"),"F","-"))))</f>
        <v>-</v>
      </c>
      <c r="HG26" s="64" t="str">
        <f t="shared" si="62"/>
        <v/>
      </c>
      <c r="HH26" s="69"/>
      <c r="HI26" s="59" t="str">
        <f>IF(AND($B$26="M",HH26="WA"),"M",IF(AND($B$26="M",HH26="EXC"),"M",IF(AND($B$26="F",HH26="WA"),"F",IF(AND($B$26="F",HH26="EXC"),"F","-"))))</f>
        <v>-</v>
      </c>
      <c r="HJ26" s="64" t="str">
        <f t="shared" si="63"/>
        <v/>
      </c>
      <c r="HK26" s="61" t="str">
        <f t="shared" si="64"/>
        <v/>
      </c>
      <c r="HL26" s="65"/>
      <c r="HM26" s="47" t="str">
        <f>IF(AND($B$26="M",HL26="WA"),"M",IF(AND($B$26="M",HL26="EXC"),"M",IF(AND($B$26="F",HL26="WA"),"F",IF(AND($B$26="F",HL26="EXC"),"F","-"))))</f>
        <v>-</v>
      </c>
      <c r="HN26" s="13"/>
      <c r="HO26" s="14"/>
      <c r="HP26" s="15"/>
      <c r="HQ26" s="54"/>
      <c r="HR26" s="55" t="str">
        <f>IF(AND($B$26="M",HQ26="WA"),"M",IF(AND($B$26="M",HQ26="EXC"),"M",IF(AND($B$26="F",HQ26="WA"),"F",IF(AND($B$26="F",HQ26="EXC"),"F","-"))))</f>
        <v>-</v>
      </c>
      <c r="HS26" s="56" t="str">
        <f t="shared" si="65"/>
        <v/>
      </c>
      <c r="HT26" s="54"/>
      <c r="HU26" s="55" t="str">
        <f>IF(AND($B$26="M",HT26="WA"),"M",IF(AND($B$26="M",HT26="EXC"),"M",IF(AND($B$26="F",HT26="WA"),"F",IF(AND($B$26="F",HT26="EXC"),"F","-"))))</f>
        <v>-</v>
      </c>
      <c r="HV26" s="56" t="str">
        <f t="shared" si="66"/>
        <v/>
      </c>
      <c r="HW26" s="54"/>
      <c r="HX26" s="55" t="str">
        <f>IF(AND($B$26="M",HW26="WA"),"M",IF(AND($B$26="M",HW26="EXC"),"M",IF(AND($B$26="F",HW26="WA"),"F",IF(AND($B$26="F",HW26="EXC"),"F","-"))))</f>
        <v>-</v>
      </c>
      <c r="HY26" s="56" t="str">
        <f t="shared" si="67"/>
        <v/>
      </c>
      <c r="HZ26" s="54" t="str">
        <f t="shared" si="68"/>
        <v/>
      </c>
      <c r="IA26" s="67"/>
      <c r="IB26" s="55" t="str">
        <f>IF(AND($B$26="M",IA26="WA"),"M",IF(AND($B$26="M",IA26="EXC"),"M",IF(AND($B$26="F",IA26="WA"),"F",IF(AND($B$26="F",IA26="EXC"),"F","-"))))</f>
        <v>-</v>
      </c>
      <c r="IC26" s="17"/>
    </row>
    <row r="27">
      <c r="A27" s="40"/>
      <c r="B27" s="41"/>
      <c r="C27" s="58"/>
      <c r="D27" s="59" t="str">
        <f>IF(AND($B$27="M",C27="WA"),"M",IF(AND($B$27="M",C27="EXC"),"M",IF(AND($B$27="F",C27="WA"),"F",IF(AND($B$27="F",C27="EXC"),"F","-"))))</f>
        <v>-</v>
      </c>
      <c r="E27" s="60" t="str">
        <f t="shared" si="1"/>
        <v/>
      </c>
      <c r="F27" s="58"/>
      <c r="G27" s="59" t="str">
        <f>IF(AND($B$27="M",F27="WA"),"M",IF(AND($B$27="M",F27="EXC"),"M",IF(AND($B$27="F",F27="WA"),"F",IF(AND($B$27="F",F27="EXC"),"F","-"))))</f>
        <v>-</v>
      </c>
      <c r="H27" s="60" t="str">
        <f t="shared" si="2"/>
        <v/>
      </c>
      <c r="I27" s="58"/>
      <c r="J27" s="59" t="str">
        <f>IF(AND($B$27="M",I27="WA"),"M",IF(AND($B$27="M",I27="EXC"),"M",IF(AND($B$27="F",I27="WA"),"F",IF(AND($B$27="F",I27="EXC"),"F","-"))))</f>
        <v>-</v>
      </c>
      <c r="K27" s="60" t="str">
        <f t="shared" si="3"/>
        <v/>
      </c>
      <c r="L27" s="58"/>
      <c r="M27" s="59" t="str">
        <f>IF(AND($B$27="M",L27="WA"),"M",IF(AND($B$27="M",L27="EXC"),"M",IF(AND($B$27="F",L27="WA"),"F",IF(AND($B$27="F",L27="EXC"),"F","-"))))</f>
        <v>-</v>
      </c>
      <c r="N27" s="60" t="str">
        <f t="shared" si="4"/>
        <v/>
      </c>
      <c r="O27" s="58"/>
      <c r="P27" s="59" t="str">
        <f>IF(AND($B$27="M",O27="WA"),"M",IF(AND($B$27="M",O27="EXC"),"M",IF(AND($B$27="F",O27="WA"),"F",IF(AND($B$27="F",O27="EXC"),"F","-"))))</f>
        <v>-</v>
      </c>
      <c r="Q27" s="60" t="str">
        <f t="shared" si="5"/>
        <v/>
      </c>
      <c r="R27" s="58"/>
      <c r="S27" s="59" t="str">
        <f>IF(AND($B$27="M",R27="WA"),"M",IF(AND($B$27="M",R27="EXC"),"M",IF(AND($B$27="F",R27="WA"),"F",IF(AND($B$27="F",R27="EXC"),"F","-"))))</f>
        <v>-</v>
      </c>
      <c r="T27" s="60" t="str">
        <f t="shared" si="6"/>
        <v/>
      </c>
      <c r="U27" s="61" t="str">
        <f t="shared" si="7"/>
        <v/>
      </c>
      <c r="V27" s="62"/>
      <c r="W27" s="47" t="str">
        <f>IF(AND($B$27="M",V27="WA"),"M",IF(AND($B$27="M",V27="EXC"),"M",IF(AND($B$27="F",V27="WA"),"F",IF(AND($B$27="F",V27="EXC"),"F","-"))))</f>
        <v>-</v>
      </c>
      <c r="X27" s="48"/>
      <c r="Y27" s="49"/>
      <c r="Z27" s="48"/>
      <c r="AA27" s="63"/>
      <c r="AB27" s="59" t="str">
        <f>IF(AND($B$27="M",AA27="WA"),"M",IF(AND($B$27="M",AA27="EXC"),"M",IF(AND($B$27="F",AA27="WA"),"F",IF(AND($B$27="F",AA27="EXC"),"F","-"))))</f>
        <v>-</v>
      </c>
      <c r="AC27" s="64" t="str">
        <f t="shared" si="8"/>
        <v/>
      </c>
      <c r="AD27" s="58"/>
      <c r="AE27" s="59" t="str">
        <f>IF(AND($B$27="M",AD27="WA"),"M",IF(AND($B$27="M",AD27="EXC"),"M",IF(AND($B$27="F",AD27="WA"),"F",IF(AND($B$27="F",AD27="EXC"),"F","-"))))</f>
        <v>-</v>
      </c>
      <c r="AF27" s="64" t="str">
        <f t="shared" si="9"/>
        <v/>
      </c>
      <c r="AG27" s="58"/>
      <c r="AH27" s="59" t="str">
        <f>IF(AND($B$27="M",AG27="WA"),"M",IF(AND($B$27="M",AG27="EXC"),"M",IF(AND($B$27="F",AG27="WA"),"F",IF(AND($B$27="F",AG27="EXC"),"F","-"))))</f>
        <v>-</v>
      </c>
      <c r="AI27" s="64" t="str">
        <f t="shared" si="10"/>
        <v/>
      </c>
      <c r="AJ27" s="58"/>
      <c r="AK27" s="59" t="str">
        <f>IF(AND($B$27="M",AJ27="WA"),"M",IF(AND($B$27="M",AJ27="EXC"),"M",IF(AND($B$27="F",AJ27="WA"),"F",IF(AND($B$27="F",AJ27="EXC"),"F","-"))))</f>
        <v>-</v>
      </c>
      <c r="AL27" s="64" t="str">
        <f t="shared" si="11"/>
        <v/>
      </c>
      <c r="AM27" s="58"/>
      <c r="AN27" s="59" t="str">
        <f>IF(AND($B$27="M",AM27="WA"),"M",IF(AND($B$27="M",AM27="EXC"),"M",IF(AND($B$27="F",AM27="WA"),"F",IF(AND($B$27="F",AM27="EXC"),"F","-"))))</f>
        <v>-</v>
      </c>
      <c r="AO27" s="61" t="str">
        <f t="shared" si="12"/>
        <v/>
      </c>
      <c r="AP27" s="58"/>
      <c r="AQ27" s="59" t="str">
        <f>IF(AND($B$27="M",AP27="WA"),"M",IF(AND($B$27="M",AP27="EXC"),"M",IF(AND($B$27="F",AP27="WA"),"F",IF(AND($B$27="F",AP27="EXC"),"F","-"))))</f>
        <v>-</v>
      </c>
      <c r="AR27" s="61" t="str">
        <f t="shared" si="13"/>
        <v/>
      </c>
      <c r="AS27" s="61" t="str">
        <f t="shared" si="14"/>
        <v/>
      </c>
      <c r="AT27" s="65"/>
      <c r="AU27" s="47" t="str">
        <f>IF(AND($B$27="M",AT27="WA"),"M",IF(AND($B$27="M",AT27="EXC"),"M",IF(AND($B$27="F",AT27="WA"),"F",IF(AND($B$27="F",AT27="EXC"),"F","-"))))</f>
        <v>-</v>
      </c>
      <c r="AV27" s="68"/>
      <c r="AW27" s="66"/>
      <c r="AX27" s="48"/>
      <c r="AY27" s="63"/>
      <c r="AZ27" s="59" t="str">
        <f>IF(AND($B$27="M",AY27="WA"),"M",IF(AND($B$27="M",AY27="EXC"),"M",IF(AND($B$27="F",AY27="WA"),"F",IF(AND($B$27="F",AY27="EXC"),"F","-"))))</f>
        <v>-</v>
      </c>
      <c r="BA27" s="64" t="str">
        <f t="shared" si="15"/>
        <v/>
      </c>
      <c r="BB27" s="58"/>
      <c r="BC27" s="59" t="str">
        <f>IF(AND($B$27="M",BB27="WA"),"M",IF(AND($B$27="M",BB27="EXC"),"M",IF(AND($B$27="F",BB27="WA"),"F",IF(AND($B$27="F",BB27="EXC"),"F","-"))))</f>
        <v>-</v>
      </c>
      <c r="BD27" s="64" t="str">
        <f t="shared" si="16"/>
        <v/>
      </c>
      <c r="BE27" s="58"/>
      <c r="BF27" s="59" t="str">
        <f>IF(AND($B$27="M",BE27="WA"),"M",IF(AND($B$27="M",BE27="EXC"),"M",IF(AND($B$27="F",BE27="WA"),"F",IF(AND($B$27="F",BE27="EXC"),"F","-"))))</f>
        <v>-</v>
      </c>
      <c r="BG27" s="64" t="str">
        <f t="shared" si="17"/>
        <v/>
      </c>
      <c r="BH27" s="58"/>
      <c r="BI27" s="59" t="str">
        <f>IF(AND($B$27="M",BH27="WA"),"M",IF(AND($B$27="M",BH27="EXC"),"M",IF(AND($B$27="F",BH27="WA"),"F",IF(AND($B$27="F",BH27="EXC"),"F","-"))))</f>
        <v>-</v>
      </c>
      <c r="BJ27" s="64" t="str">
        <f t="shared" si="18"/>
        <v/>
      </c>
      <c r="BK27" s="58"/>
      <c r="BL27" s="59" t="str">
        <f>IF(AND($B$27="M",BK27="WA"),"M",IF(AND($B$27="M",BK27="EXC"),"M",IF(AND($B$27="F",BK27="WA"),"F",IF(AND($B$27="F",BK27="EXC"),"F","-"))))</f>
        <v>-</v>
      </c>
      <c r="BM27" s="61" t="str">
        <f t="shared" si="19"/>
        <v/>
      </c>
      <c r="BN27" s="58"/>
      <c r="BO27" s="59" t="str">
        <f>IF(AND($B$27="M",BN27="WA"),"M",IF(AND($B$27="M",BN27="EXC"),"M",IF(AND($B$27="F",BN27="WA"),"F",IF(AND($B$27="F",BN27="EXC"),"F","-"))))</f>
        <v>-</v>
      </c>
      <c r="BP27" s="61" t="str">
        <f t="shared" si="20"/>
        <v/>
      </c>
      <c r="BQ27" s="61" t="str">
        <f t="shared" si="21"/>
        <v/>
      </c>
      <c r="BR27" s="65"/>
      <c r="BS27" s="47" t="str">
        <f>IF(AND($B$27="M",BR27="WA"),"M",IF(AND($B$27="M",BR27="EXC"),"M",IF(AND($B$27="F",BR27="WA"),"F",IF(AND($B$27="F",BR27="EXC"),"F","-"))))</f>
        <v>-</v>
      </c>
      <c r="BT27" s="68"/>
      <c r="BU27" s="66"/>
      <c r="BV27" s="48"/>
      <c r="BW27" s="63"/>
      <c r="BX27" s="59" t="str">
        <f>IF(AND($B$27="M",BW27="WA"),"M",IF(AND($B$27="M",BW27="EXC"),"M",IF(AND($B$27="F",BW27="WA"),"F",IF(AND($B$27="F",BW27="EXC"),"F","-"))))</f>
        <v>-</v>
      </c>
      <c r="BY27" s="64" t="str">
        <f t="shared" si="22"/>
        <v/>
      </c>
      <c r="BZ27" s="58"/>
      <c r="CA27" s="59" t="str">
        <f>IF(AND($B$27="M",BZ27="WA"),"M",IF(AND($B$27="M",BZ27="EXC"),"M",IF(AND($B$27="F",BZ27="WA"),"F",IF(AND($B$27="F",BZ27="EXC"),"F","-"))))</f>
        <v>-</v>
      </c>
      <c r="CB27" s="64" t="str">
        <f t="shared" si="23"/>
        <v/>
      </c>
      <c r="CC27" s="58"/>
      <c r="CD27" s="59" t="str">
        <f>IF(AND($B$27="M",CC27="WA"),"M",IF(AND($B$27="M",CC27="EXC"),"M",IF(AND($B$27="F",CC27="WA"),"F",IF(AND($B$27="F",CC27="EXC"),"F","-"))))</f>
        <v>-</v>
      </c>
      <c r="CE27" s="64" t="str">
        <f t="shared" si="24"/>
        <v/>
      </c>
      <c r="CF27" s="58"/>
      <c r="CG27" s="59" t="str">
        <f>IF(AND($B$27="M",CF27="WA"),"M",IF(AND($B$27="M",CF27="EXC"),"M",IF(AND($B$27="F",CF27="WA"),"F",IF(AND($B$27="F",CF27="EXC"),"F","-"))))</f>
        <v>-</v>
      </c>
      <c r="CH27" s="64" t="str">
        <f t="shared" si="25"/>
        <v/>
      </c>
      <c r="CI27" s="58"/>
      <c r="CJ27" s="59" t="str">
        <f>IF(AND($B$27="M",CI27="WA"),"M",IF(AND($B$27="M",CI27="EXC"),"M",IF(AND($B$27="F",CI27="WA"),"F",IF(AND($B$27="F",CI27="EXC"),"F","-"))))</f>
        <v>-</v>
      </c>
      <c r="CK27" s="61" t="str">
        <f t="shared" si="26"/>
        <v/>
      </c>
      <c r="CL27" s="58"/>
      <c r="CM27" s="59" t="str">
        <f>IF(AND($B$27="M",CL27="WA"),"M",IF(AND($B$27="M",CL27="EXC"),"M",IF(AND($B$27="F",CL27="WA"),"F",IF(AND($B$27="F",CL27="EXC"),"F","-"))))</f>
        <v>-</v>
      </c>
      <c r="CN27" s="61" t="str">
        <f t="shared" si="27"/>
        <v/>
      </c>
      <c r="CO27" s="61" t="str">
        <f t="shared" si="28"/>
        <v/>
      </c>
      <c r="CP27" s="65"/>
      <c r="CQ27" s="47" t="str">
        <f>IF(AND($B$27="M",CP27="WA"),"M",IF(AND($B$27="M",CP27="EXC"),"M",IF(AND($B$27="F",CP27="WA"),"F",IF(AND($B$27="F",CP27="EXC"),"F","-"))))</f>
        <v>-</v>
      </c>
      <c r="CR27" s="68"/>
      <c r="CS27" s="66"/>
      <c r="CT27" s="48"/>
      <c r="CU27" s="63"/>
      <c r="CV27" s="59" t="str">
        <f>IF(AND($B$27="M",CU27="WA"),"M",IF(AND($B$27="M",CU27="EXC"),"M",IF(AND($B$27="F",CU27="WA"),"F",IF(AND($B$27="F",CU27="EXC"),"F","-"))))</f>
        <v>-</v>
      </c>
      <c r="CW27" s="64" t="str">
        <f t="shared" si="29"/>
        <v/>
      </c>
      <c r="CX27" s="58"/>
      <c r="CY27" s="59" t="str">
        <f>IF(AND($B$27="M",CX27="WA"),"M",IF(AND($B$27="M",CX27="EXC"),"M",IF(AND($B$27="F",CX27="WA"),"F",IF(AND($B$27="F",CX27="EXC"),"F","-"))))</f>
        <v>-</v>
      </c>
      <c r="CZ27" s="64" t="str">
        <f t="shared" si="30"/>
        <v/>
      </c>
      <c r="DA27" s="58"/>
      <c r="DB27" s="59" t="str">
        <f>IF(AND($B$27="M",DA27="WA"),"M",IF(AND($B$27="M",DA27="EXC"),"M",IF(AND($B$27="F",DA27="WA"),"F",IF(AND($B$27="F",DA27="EXC"),"F","-"))))</f>
        <v>-</v>
      </c>
      <c r="DC27" s="64" t="str">
        <f t="shared" si="31"/>
        <v/>
      </c>
      <c r="DD27" s="58"/>
      <c r="DE27" s="59" t="str">
        <f>IF(AND($B$27="M",DD27="WA"),"M",IF(AND($B$27="M",DD27="EXC"),"M",IF(AND($B$27="F",DD27="WA"),"F",IF(AND($B$27="F",DD27="EXC"),"F","-"))))</f>
        <v>-</v>
      </c>
      <c r="DF27" s="64" t="str">
        <f t="shared" si="32"/>
        <v/>
      </c>
      <c r="DG27" s="58"/>
      <c r="DH27" s="59" t="str">
        <f>IF(AND($B$27="M",DG27="WA"),"M",IF(AND($B$27="M",DG27="EXC"),"M",IF(AND($B$27="F",DG27="WA"),"F",IF(AND($B$27="F",DG27="EXC"),"F","-"))))</f>
        <v>-</v>
      </c>
      <c r="DI27" s="61" t="str">
        <f t="shared" si="33"/>
        <v/>
      </c>
      <c r="DJ27" s="58"/>
      <c r="DK27" s="59" t="str">
        <f>IF(AND($B$27="M",DJ27="WA"),"M",IF(AND($B$27="M",DJ27="EXC"),"M",IF(AND($B$27="F",DJ27="WA"),"F",IF(AND($B$27="F",DJ27="EXC"),"F","-"))))</f>
        <v>-</v>
      </c>
      <c r="DL27" s="61" t="str">
        <f t="shared" si="34"/>
        <v/>
      </c>
      <c r="DM27" s="61" t="str">
        <f t="shared" si="35"/>
        <v/>
      </c>
      <c r="DN27" s="65"/>
      <c r="DO27" s="47" t="str">
        <f>IF(AND($B$27="M",DN27="WA"),"M",IF(AND($B$27="M",DN27="EXC"),"M",IF(AND($B$27="F",DN27="WA"),"F",IF(AND($B$27="F",DN27="EXC"),"F","-"))))</f>
        <v>-</v>
      </c>
      <c r="DP27" s="68"/>
      <c r="DQ27" s="66"/>
      <c r="DR27" s="48"/>
      <c r="DS27" s="63"/>
      <c r="DT27" s="59" t="str">
        <f>IF(AND($B$27="M",DS27="WA"),"M",IF(AND($B$27="M",DS27="EXC"),"M",IF(AND($B$27="F",DS27="WA"),"F",IF(AND($B$27="F",DS27="EXC"),"F","-"))))</f>
        <v>-</v>
      </c>
      <c r="DU27" s="64" t="str">
        <f t="shared" si="36"/>
        <v/>
      </c>
      <c r="DV27" s="58"/>
      <c r="DW27" s="59" t="str">
        <f>IF(AND($B$27="M",DV27="WA"),"M",IF(AND($B$27="M",DV27="EXC"),"M",IF(AND($B$27="F",DV27="WA"),"F",IF(AND($B$27="F",DV27="EXC"),"F","-"))))</f>
        <v>-</v>
      </c>
      <c r="DX27" s="64" t="str">
        <f t="shared" si="37"/>
        <v/>
      </c>
      <c r="DY27" s="58"/>
      <c r="DZ27" s="59" t="str">
        <f>IF(AND($B$27="M",DY27="WA"),"M",IF(AND($B$27="M",DY27="EXC"),"M",IF(AND($B$27="F",DY27="WA"),"F",IF(AND($B$27="F",DY27="EXC"),"F","-"))))</f>
        <v>-</v>
      </c>
      <c r="EA27" s="64" t="str">
        <f t="shared" si="38"/>
        <v/>
      </c>
      <c r="EB27" s="58"/>
      <c r="EC27" s="59" t="str">
        <f>IF(AND($B$27="M",EB27="WA"),"M",IF(AND($B$27="M",EB27="EXC"),"M",IF(AND($B$27="F",EB27="WA"),"F",IF(AND($B$27="F",EB27="EXC"),"F","-"))))</f>
        <v>-</v>
      </c>
      <c r="ED27" s="64" t="str">
        <f t="shared" si="39"/>
        <v/>
      </c>
      <c r="EE27" s="58"/>
      <c r="EF27" s="59" t="str">
        <f>IF(AND($B$27="M",EE27="WA"),"M",IF(AND($B$27="M",EE27="EXC"),"M",IF(AND($B$27="F",EE27="WA"),"F",IF(AND($B$27="F",EE27="EXC"),"F","-"))))</f>
        <v>-</v>
      </c>
      <c r="EG27" s="61" t="str">
        <f t="shared" si="40"/>
        <v/>
      </c>
      <c r="EH27" s="58"/>
      <c r="EI27" s="59" t="str">
        <f>IF(AND($B$27="M",EH27="WA"),"M",IF(AND($B$27="M",EH27="EXC"),"M",IF(AND($B$27="F",EH27="WA"),"F",IF(AND($B$27="F",EH27="EXC"),"F","-"))))</f>
        <v>-</v>
      </c>
      <c r="EJ27" s="61" t="str">
        <f t="shared" si="41"/>
        <v/>
      </c>
      <c r="EK27" s="61" t="str">
        <f t="shared" si="42"/>
        <v/>
      </c>
      <c r="EL27" s="65"/>
      <c r="EM27" s="47" t="str">
        <f>IF(AND($B$27="M",EL27="WA"),"M",IF(AND($B$27="M",EL27="EXC"),"M",IF(AND($B$27="F",EL27="WA"),"F",IF(AND($B$27="F",EL27="EXC"),"F","-"))))</f>
        <v>-</v>
      </c>
      <c r="EN27" s="68"/>
      <c r="EO27" s="66"/>
      <c r="EP27" s="48"/>
      <c r="EQ27" s="63"/>
      <c r="ER27" s="59" t="str">
        <f>IF(AND($B$27="M",EQ27="WA"),"M",IF(AND($B$27="M",EQ27="EXC"),"M",IF(AND($B$27="F",EQ27="WA"),"F",IF(AND($B$27="F",EQ27="EXC"),"F","-"))))</f>
        <v>-</v>
      </c>
      <c r="ES27" s="64" t="str">
        <f t="shared" si="43"/>
        <v/>
      </c>
      <c r="ET27" s="58"/>
      <c r="EU27" s="59" t="str">
        <f>IF(AND($B$27="M",ET27="WA"),"M",IF(AND($B$27="M",ET27="EXC"),"M",IF(AND($B$27="F",ET27="WA"),"F",IF(AND($B$27="F",ET27="EXC"),"F","-"))))</f>
        <v>-</v>
      </c>
      <c r="EV27" s="64" t="str">
        <f t="shared" si="44"/>
        <v/>
      </c>
      <c r="EW27" s="58"/>
      <c r="EX27" s="59" t="str">
        <f>IF(AND($B$27="M",EW27="WA"),"M",IF(AND($B$27="M",EW27="EXC"),"M",IF(AND($B$27="F",EW27="WA"),"F",IF(AND($B$27="F",EW27="EXC"),"F","-"))))</f>
        <v>-</v>
      </c>
      <c r="EY27" s="64" t="str">
        <f t="shared" si="45"/>
        <v/>
      </c>
      <c r="EZ27" s="58"/>
      <c r="FA27" s="59" t="str">
        <f>IF(AND($B$27="M",EZ27="WA"),"M",IF(AND($B$27="M",EZ27="EXC"),"M",IF(AND($B$27="F",EZ27="WA"),"F",IF(AND($B$27="F",EZ27="EXC"),"F","-"))))</f>
        <v>-</v>
      </c>
      <c r="FB27" s="64" t="str">
        <f t="shared" si="46"/>
        <v/>
      </c>
      <c r="FC27" s="58"/>
      <c r="FD27" s="59" t="str">
        <f>IF(AND($B$27="M",FC27="WA"),"M",IF(AND($B$27="M",FC27="EXC"),"M",IF(AND($B$27="F",FC27="WA"),"F",IF(AND($B$27="F",FC27="EXC"),"F","-"))))</f>
        <v>-</v>
      </c>
      <c r="FE27" s="61" t="str">
        <f t="shared" si="47"/>
        <v/>
      </c>
      <c r="FF27" s="58"/>
      <c r="FG27" s="59" t="str">
        <f>IF(AND($B$27="M",FF27="WA"),"M",IF(AND($B$27="M",FF27="EXC"),"M",IF(AND($B$27="F",FF27="WA"),"F",IF(AND($B$27="F",FF27="EXC"),"F","-"))))</f>
        <v>-</v>
      </c>
      <c r="FH27" s="61" t="str">
        <f t="shared" si="48"/>
        <v/>
      </c>
      <c r="FI27" s="61" t="str">
        <f t="shared" si="49"/>
        <v/>
      </c>
      <c r="FJ27" s="65"/>
      <c r="FK27" s="47" t="str">
        <f>IF(AND($B$27="M",FJ27="WA"),"M",IF(AND($B$27="M",FJ27="EXC"),"M",IF(AND($B$27="F",FJ27="WA"),"F",IF(AND($B$27="F",FJ27="EXC"),"F","-"))))</f>
        <v>-</v>
      </c>
      <c r="FL27" s="68"/>
      <c r="FM27" s="66"/>
      <c r="FN27" s="48"/>
      <c r="FO27" s="63"/>
      <c r="FP27" s="59" t="str">
        <f>IF(AND($B$27="M",FO27="WA"),"M",IF(AND($B$27="M",FO27="EXC"),"M",IF(AND($B$27="F",FO27="WA"),"F",IF(AND($B$27="F",FO27="EXC"),"F","-"))))</f>
        <v>-</v>
      </c>
      <c r="FQ27" s="64" t="str">
        <f t="shared" si="50"/>
        <v/>
      </c>
      <c r="FR27" s="58"/>
      <c r="FS27" s="59" t="str">
        <f>IF(AND($B$27="M",FR27="WA"),"M",IF(AND($B$27="M",FR27="EXC"),"M",IF(AND($B$27="F",FR27="WA"),"F",IF(AND($B$27="F",FR27="EXC"),"F","-"))))</f>
        <v>-</v>
      </c>
      <c r="FT27" s="64" t="str">
        <f t="shared" si="51"/>
        <v/>
      </c>
      <c r="FU27" s="58"/>
      <c r="FV27" s="59" t="str">
        <f>IF(AND($B$27="M",FU27="WA"),"M",IF(AND($B$27="M",FU27="EXC"),"M",IF(AND($B$27="F",FU27="WA"),"F",IF(AND($B$27="F",FU27="EXC"),"F","-"))))</f>
        <v>-</v>
      </c>
      <c r="FW27" s="64" t="str">
        <f t="shared" si="52"/>
        <v/>
      </c>
      <c r="FX27" s="58"/>
      <c r="FY27" s="59" t="str">
        <f>IF(AND($B$27="M",FX27="WA"),"M",IF(AND($B$27="M",FX27="EXC"),"M",IF(AND($B$27="F",FX27="WA"),"F",IF(AND($B$27="F",FX27="EXC"),"F","-"))))</f>
        <v>-</v>
      </c>
      <c r="FZ27" s="64" t="str">
        <f t="shared" si="53"/>
        <v/>
      </c>
      <c r="GA27" s="58"/>
      <c r="GB27" s="59" t="str">
        <f>IF(AND($B$27="M",GA27="WA"),"M",IF(AND($B$27="M",GA27="EXC"),"M",IF(AND($B$27="F",GA27="WA"),"F",IF(AND($B$27="F",GA27="EXC"),"F","-"))))</f>
        <v>-</v>
      </c>
      <c r="GC27" s="61" t="str">
        <f t="shared" si="54"/>
        <v/>
      </c>
      <c r="GD27" s="58"/>
      <c r="GE27" s="59" t="str">
        <f>IF(AND($B$27="M",GD27="WA"),"M",IF(AND($B$27="M",GD27="EXC"),"M",IF(AND($B$27="F",GD27="WA"),"F",IF(AND($B$27="F",GD27="EXC"),"F","-"))))</f>
        <v>-</v>
      </c>
      <c r="GF27" s="61" t="str">
        <f t="shared" si="55"/>
        <v/>
      </c>
      <c r="GG27" s="61" t="str">
        <f t="shared" si="56"/>
        <v/>
      </c>
      <c r="GH27" s="65"/>
      <c r="GI27" s="47" t="str">
        <f>IF(AND($B$27="M",GH27="WA"),"M",IF(AND($B$27="M",GH27="EXC"),"M",IF(AND($B$27="F",GH27="WA"),"F",IF(AND($B$27="F",GH27="EXC"),"F","-"))))</f>
        <v>-</v>
      </c>
      <c r="GJ27" s="68"/>
      <c r="GK27" s="66"/>
      <c r="GL27" s="48"/>
      <c r="GM27" s="63"/>
      <c r="GN27" s="59" t="str">
        <f>IF(AND($B$27="M",GM27="WA"),"M",IF(AND($B$27="M",GM27="EXC"),"M",IF(AND($B$27="F",GM27="WA"),"F",IF(AND($B$27="F",GM27="EXC"),"F","-"))))</f>
        <v>-</v>
      </c>
      <c r="GO27" s="64" t="str">
        <f t="shared" si="57"/>
        <v/>
      </c>
      <c r="GP27" s="58"/>
      <c r="GQ27" s="59" t="str">
        <f>IF(AND($B$27="M",GP27="WA"),"M",IF(AND($B$27="M",GP27="EXC"),"M",IF(AND($B$27="F",GP27="WA"),"F",IF(AND($B$27="F",GP27="EXC"),"F","-"))))</f>
        <v>-</v>
      </c>
      <c r="GR27" s="64" t="str">
        <f t="shared" si="58"/>
        <v/>
      </c>
      <c r="GS27" s="58"/>
      <c r="GT27" s="59" t="str">
        <f>IF(AND($B$27="M",GS27="WA"),"M",IF(AND($B$27="M",GS27="EXC"),"M",IF(AND($B$27="F",GS27="WA"),"F",IF(AND($B$27="F",GS27="EXC"),"F","-"))))</f>
        <v>-</v>
      </c>
      <c r="GU27" s="64" t="str">
        <f t="shared" si="59"/>
        <v/>
      </c>
      <c r="GV27" s="61" t="str">
        <f t="shared" si="60"/>
        <v/>
      </c>
      <c r="GW27" s="65"/>
      <c r="GX27" s="47" t="str">
        <f>IF(AND($B$27="M",GW27="WA"),"M",IF(AND($B$27="M",GW27="EXC"),"M",IF(AND($B$27="F",GW27="WA"),"F",IF(AND($B$27="F",GW27="EXC"),"F","-"))))</f>
        <v>-</v>
      </c>
      <c r="GY27" s="68"/>
      <c r="GZ27" s="66"/>
      <c r="HA27" s="48"/>
      <c r="HB27" s="63"/>
      <c r="HC27" s="59" t="str">
        <f>IF(AND($B$27="M",HB27="WA"),"M",IF(AND($B$27="M",HB27="EXC"),"M",IF(AND($B$27="F",HB27="WA"),"F",IF(AND($B$27="F",HB27="EXC"),"F","-"))))</f>
        <v>-</v>
      </c>
      <c r="HD27" s="64" t="str">
        <f t="shared" si="61"/>
        <v/>
      </c>
      <c r="HE27" s="58"/>
      <c r="HF27" s="59" t="str">
        <f>IF(AND($B$27="M",HE27="WA"),"M",IF(AND($B$27="M",HE27="EXC"),"M",IF(AND($B$27="F",HE27="WA"),"F",IF(AND($B$27="F",HE27="EXC"),"F","-"))))</f>
        <v>-</v>
      </c>
      <c r="HG27" s="64" t="str">
        <f t="shared" si="62"/>
        <v/>
      </c>
      <c r="HH27" s="58"/>
      <c r="HI27" s="59" t="str">
        <f>IF(AND($B$27="M",HH27="WA"),"M",IF(AND($B$27="M",HH27="EXC"),"M",IF(AND($B$27="F",HH27="WA"),"F",IF(AND($B$27="F",HH27="EXC"),"F","-"))))</f>
        <v>-</v>
      </c>
      <c r="HJ27" s="64" t="str">
        <f t="shared" si="63"/>
        <v/>
      </c>
      <c r="HK27" s="61" t="str">
        <f t="shared" si="64"/>
        <v/>
      </c>
      <c r="HL27" s="65"/>
      <c r="HM27" s="47" t="str">
        <f>IF(AND($B$27="M",HL27="WA"),"M",IF(AND($B$27="M",HL27="EXC"),"M",IF(AND($B$27="F",HL27="WA"),"F",IF(AND($B$27="F",HL27="EXC"),"F","-"))))</f>
        <v>-</v>
      </c>
      <c r="HN27" s="13"/>
      <c r="HO27" s="14"/>
      <c r="HP27" s="15"/>
      <c r="HQ27" s="54"/>
      <c r="HR27" s="55" t="str">
        <f>IF(AND($B$27="M",HQ27="WA"),"M",IF(AND($B$27="M",HQ27="EXC"),"M",IF(AND($B$27="F",HQ27="WA"),"F",IF(AND($B$27="F",HQ27="EXC"),"F","-"))))</f>
        <v>-</v>
      </c>
      <c r="HS27" s="56" t="str">
        <f t="shared" si="65"/>
        <v/>
      </c>
      <c r="HT27" s="54"/>
      <c r="HU27" s="55" t="str">
        <f>IF(AND($B$27="M",HT27="WA"),"M",IF(AND($B$27="M",HT27="EXC"),"M",IF(AND($B$27="F",HT27="WA"),"F",IF(AND($B$27="F",HT27="EXC"),"F","-"))))</f>
        <v>-</v>
      </c>
      <c r="HV27" s="56" t="str">
        <f t="shared" si="66"/>
        <v/>
      </c>
      <c r="HW27" s="54"/>
      <c r="HX27" s="55" t="str">
        <f>IF(AND($B$27="M",HW27="WA"),"M",IF(AND($B$27="M",HW27="EXC"),"M",IF(AND($B$27="F",HW27="WA"),"F",IF(AND($B$27="F",HW27="EXC"),"F","-"))))</f>
        <v>-</v>
      </c>
      <c r="HY27" s="56" t="str">
        <f t="shared" si="67"/>
        <v/>
      </c>
      <c r="HZ27" s="54" t="str">
        <f t="shared" si="68"/>
        <v/>
      </c>
      <c r="IA27" s="67"/>
      <c r="IB27" s="55" t="str">
        <f>IF(AND($B$27="M",IA27="WA"),"M",IF(AND($B$27="M",IA27="EXC"),"M",IF(AND($B$27="F",IA27="WA"),"F",IF(AND($B$27="F",IA27="EXC"),"F","-"))))</f>
        <v>-</v>
      </c>
      <c r="IC27" s="17"/>
    </row>
    <row r="28">
      <c r="A28" s="40"/>
      <c r="B28" s="41"/>
      <c r="C28" s="69"/>
      <c r="D28" s="59" t="str">
        <f>IF(AND($B$28="M",C28="WA"),"M",IF(AND($B$28="M",C28="EXC"),"M",IF(AND($B$28="F",C28="WA"),"F",IF(AND($B$28="F",C28="EXC"),"F","-"))))</f>
        <v>-</v>
      </c>
      <c r="E28" s="60" t="str">
        <f t="shared" si="1"/>
        <v/>
      </c>
      <c r="F28" s="69"/>
      <c r="G28" s="59" t="str">
        <f>IF(AND($B$28="M",F28="WA"),"M",IF(AND($B$28="M",F28="EXC"),"M",IF(AND($B$28="F",F28="WA"),"F",IF(AND($B$28="F",F28="EXC"),"F","-"))))</f>
        <v>-</v>
      </c>
      <c r="H28" s="60" t="str">
        <f t="shared" si="2"/>
        <v/>
      </c>
      <c r="I28" s="69"/>
      <c r="J28" s="59" t="str">
        <f>IF(AND($B$28="M",I28="WA"),"M",IF(AND($B$28="M",I28="EXC"),"M",IF(AND($B$28="F",I28="WA"),"F",IF(AND($B$28="F",I28="EXC"),"F","-"))))</f>
        <v>-</v>
      </c>
      <c r="K28" s="60" t="str">
        <f t="shared" si="3"/>
        <v/>
      </c>
      <c r="L28" s="69"/>
      <c r="M28" s="59" t="str">
        <f>IF(AND($B$28="M",L28="WA"),"M",IF(AND($B$28="M",L28="EXC"),"M",IF(AND($B$28="F",L28="WA"),"F",IF(AND($B$28="F",L28="EXC"),"F","-"))))</f>
        <v>-</v>
      </c>
      <c r="N28" s="60" t="str">
        <f t="shared" si="4"/>
        <v/>
      </c>
      <c r="O28" s="69"/>
      <c r="P28" s="59" t="str">
        <f>IF(AND($B$28="M",O28="WA"),"M",IF(AND($B$28="M",O28="EXC"),"M",IF(AND($B$28="F",O28="WA"),"F",IF(AND($B$28="F",O28="EXC"),"F","-"))))</f>
        <v>-</v>
      </c>
      <c r="Q28" s="60" t="str">
        <f t="shared" si="5"/>
        <v/>
      </c>
      <c r="R28" s="69"/>
      <c r="S28" s="59" t="str">
        <f>IF(AND($B$28="M",R28="WA"),"M",IF(AND($B$28="M",R28="EXC"),"M",IF(AND($B$28="F",R28="WA"),"F",IF(AND($B$28="F",R28="EXC"),"F","-"))))</f>
        <v>-</v>
      </c>
      <c r="T28" s="60" t="str">
        <f t="shared" si="6"/>
        <v/>
      </c>
      <c r="U28" s="61" t="str">
        <f t="shared" si="7"/>
        <v/>
      </c>
      <c r="V28" s="62"/>
      <c r="W28" s="47" t="str">
        <f>IF(AND($B$28="M",V28="WA"),"M",IF(AND($B$28="M",V28="EXC"),"M",IF(AND($B$28="F",V28="WA"),"F",IF(AND($B$28="F",V28="EXC"),"F","-"))))</f>
        <v>-</v>
      </c>
      <c r="X28" s="48"/>
      <c r="Y28" s="49"/>
      <c r="Z28" s="48"/>
      <c r="AA28" s="70"/>
      <c r="AB28" s="59" t="str">
        <f>IF(AND($B$28="M",AA28="WA"),"M",IF(AND($B$28="M",AA28="EXC"),"M",IF(AND($B$28="F",AA28="WA"),"F",IF(AND($B$28="F",AA28="EXC"),"F","-"))))</f>
        <v>-</v>
      </c>
      <c r="AC28" s="64" t="str">
        <f t="shared" si="8"/>
        <v/>
      </c>
      <c r="AD28" s="69"/>
      <c r="AE28" s="59" t="str">
        <f>IF(AND($B$28="M",AD28="WA"),"M",IF(AND($B$28="M",AD28="EXC"),"M",IF(AND($B$28="F",AD28="WA"),"F",IF(AND($B$28="F",AD28="EXC"),"F","-"))))</f>
        <v>-</v>
      </c>
      <c r="AF28" s="64" t="str">
        <f t="shared" si="9"/>
        <v/>
      </c>
      <c r="AG28" s="69"/>
      <c r="AH28" s="59" t="str">
        <f>IF(AND($B$28="M",AG28="WA"),"M",IF(AND($B$28="M",AG28="EXC"),"M",IF(AND($B$28="F",AG28="WA"),"F",IF(AND($B$28="F",AG28="EXC"),"F","-"))))</f>
        <v>-</v>
      </c>
      <c r="AI28" s="64" t="str">
        <f t="shared" si="10"/>
        <v/>
      </c>
      <c r="AJ28" s="69"/>
      <c r="AK28" s="59" t="str">
        <f>IF(AND($B$28="M",AJ28="WA"),"M",IF(AND($B$28="M",AJ28="EXC"),"M",IF(AND($B$28="F",AJ28="WA"),"F",IF(AND($B$28="F",AJ28="EXC"),"F","-"))))</f>
        <v>-</v>
      </c>
      <c r="AL28" s="64" t="str">
        <f t="shared" si="11"/>
        <v/>
      </c>
      <c r="AM28" s="69"/>
      <c r="AN28" s="59" t="str">
        <f>IF(AND($B$28="M",AM28="WA"),"M",IF(AND($B$28="M",AM28="EXC"),"M",IF(AND($B$28="F",AM28="WA"),"F",IF(AND($B$28="F",AM28="EXC"),"F","-"))))</f>
        <v>-</v>
      </c>
      <c r="AO28" s="61" t="str">
        <f t="shared" si="12"/>
        <v/>
      </c>
      <c r="AP28" s="69"/>
      <c r="AQ28" s="59" t="str">
        <f>IF(AND($B$28="M",AP28="WA"),"M",IF(AND($B$28="M",AP28="EXC"),"M",IF(AND($B$28="F",AP28="WA"),"F",IF(AND($B$28="F",AP28="EXC"),"F","-"))))</f>
        <v>-</v>
      </c>
      <c r="AR28" s="61" t="str">
        <f t="shared" si="13"/>
        <v/>
      </c>
      <c r="AS28" s="61" t="str">
        <f t="shared" si="14"/>
        <v/>
      </c>
      <c r="AT28" s="65"/>
      <c r="AU28" s="47" t="str">
        <f>IF(AND($B$28="M",AT28="WA"),"M",IF(AND($B$28="M",AT28="EXC"),"M",IF(AND($B$28="F",AT28="WA"),"F",IF(AND($B$28="F",AT28="EXC"),"F","-"))))</f>
        <v>-</v>
      </c>
      <c r="AV28" s="68"/>
      <c r="AW28" s="66"/>
      <c r="AX28" s="48"/>
      <c r="AY28" s="70"/>
      <c r="AZ28" s="59" t="str">
        <f>IF(AND($B$28="M",AY28="WA"),"M",IF(AND($B$28="M",AY28="EXC"),"M",IF(AND($B$28="F",AY28="WA"),"F",IF(AND($B$28="F",AY28="EXC"),"F","-"))))</f>
        <v>-</v>
      </c>
      <c r="BA28" s="64" t="str">
        <f t="shared" si="15"/>
        <v/>
      </c>
      <c r="BB28" s="69"/>
      <c r="BC28" s="59" t="str">
        <f>IF(AND($B$28="M",BB28="WA"),"M",IF(AND($B$28="M",BB28="EXC"),"M",IF(AND($B$28="F",BB28="WA"),"F",IF(AND($B$28="F",BB28="EXC"),"F","-"))))</f>
        <v>-</v>
      </c>
      <c r="BD28" s="64" t="str">
        <f t="shared" si="16"/>
        <v/>
      </c>
      <c r="BE28" s="69"/>
      <c r="BF28" s="59" t="str">
        <f>IF(AND($B$28="M",BE28="WA"),"M",IF(AND($B$28="M",BE28="EXC"),"M",IF(AND($B$28="F",BE28="WA"),"F",IF(AND($B$28="F",BE28="EXC"),"F","-"))))</f>
        <v>-</v>
      </c>
      <c r="BG28" s="64" t="str">
        <f t="shared" si="17"/>
        <v/>
      </c>
      <c r="BH28" s="69"/>
      <c r="BI28" s="59" t="str">
        <f>IF(AND($B$28="M",BH28="WA"),"M",IF(AND($B$28="M",BH28="EXC"),"M",IF(AND($B$28="F",BH28="WA"),"F",IF(AND($B$28="F",BH28="EXC"),"F","-"))))</f>
        <v>-</v>
      </c>
      <c r="BJ28" s="64" t="str">
        <f t="shared" si="18"/>
        <v/>
      </c>
      <c r="BK28" s="69"/>
      <c r="BL28" s="59" t="str">
        <f>IF(AND($B$28="M",BK28="WA"),"M",IF(AND($B$28="M",BK28="EXC"),"M",IF(AND($B$28="F",BK28="WA"),"F",IF(AND($B$28="F",BK28="EXC"),"F","-"))))</f>
        <v>-</v>
      </c>
      <c r="BM28" s="61" t="str">
        <f t="shared" si="19"/>
        <v/>
      </c>
      <c r="BN28" s="69"/>
      <c r="BO28" s="59" t="str">
        <f>IF(AND($B$28="M",BN28="WA"),"M",IF(AND($B$28="M",BN28="EXC"),"M",IF(AND($B$28="F",BN28="WA"),"F",IF(AND($B$28="F",BN28="EXC"),"F","-"))))</f>
        <v>-</v>
      </c>
      <c r="BP28" s="61" t="str">
        <f t="shared" si="20"/>
        <v/>
      </c>
      <c r="BQ28" s="61" t="str">
        <f t="shared" si="21"/>
        <v/>
      </c>
      <c r="BR28" s="65"/>
      <c r="BS28" s="47" t="str">
        <f>IF(AND($B$28="M",BR28="WA"),"M",IF(AND($B$28="M",BR28="EXC"),"M",IF(AND($B$28="F",BR28="WA"),"F",IF(AND($B$28="F",BR28="EXC"),"F","-"))))</f>
        <v>-</v>
      </c>
      <c r="BT28" s="68"/>
      <c r="BU28" s="66"/>
      <c r="BV28" s="48"/>
      <c r="BW28" s="70"/>
      <c r="BX28" s="59" t="str">
        <f>IF(AND($B$28="M",BW28="WA"),"M",IF(AND($B$28="M",BW28="EXC"),"M",IF(AND($B$28="F",BW28="WA"),"F",IF(AND($B$28="F",BW28="EXC"),"F","-"))))</f>
        <v>-</v>
      </c>
      <c r="BY28" s="64" t="str">
        <f t="shared" si="22"/>
        <v/>
      </c>
      <c r="BZ28" s="69"/>
      <c r="CA28" s="59" t="str">
        <f>IF(AND($B$28="M",BZ28="WA"),"M",IF(AND($B$28="M",BZ28="EXC"),"M",IF(AND($B$28="F",BZ28="WA"),"F",IF(AND($B$28="F",BZ28="EXC"),"F","-"))))</f>
        <v>-</v>
      </c>
      <c r="CB28" s="64" t="str">
        <f t="shared" si="23"/>
        <v/>
      </c>
      <c r="CC28" s="69"/>
      <c r="CD28" s="59" t="str">
        <f>IF(AND($B$28="M",CC28="WA"),"M",IF(AND($B$28="M",CC28="EXC"),"M",IF(AND($B$28="F",CC28="WA"),"F",IF(AND($B$28="F",CC28="EXC"),"F","-"))))</f>
        <v>-</v>
      </c>
      <c r="CE28" s="64" t="str">
        <f t="shared" si="24"/>
        <v/>
      </c>
      <c r="CF28" s="69"/>
      <c r="CG28" s="59" t="str">
        <f>IF(AND($B$28="M",CF28="WA"),"M",IF(AND($B$28="M",CF28="EXC"),"M",IF(AND($B$28="F",CF28="WA"),"F",IF(AND($B$28="F",CF28="EXC"),"F","-"))))</f>
        <v>-</v>
      </c>
      <c r="CH28" s="64" t="str">
        <f t="shared" si="25"/>
        <v/>
      </c>
      <c r="CI28" s="69"/>
      <c r="CJ28" s="59" t="str">
        <f>IF(AND($B$28="M",CI28="WA"),"M",IF(AND($B$28="M",CI28="EXC"),"M",IF(AND($B$28="F",CI28="WA"),"F",IF(AND($B$28="F",CI28="EXC"),"F","-"))))</f>
        <v>-</v>
      </c>
      <c r="CK28" s="61" t="str">
        <f t="shared" si="26"/>
        <v/>
      </c>
      <c r="CL28" s="69"/>
      <c r="CM28" s="59" t="str">
        <f>IF(AND($B$28="M",CL28="WA"),"M",IF(AND($B$28="M",CL28="EXC"),"M",IF(AND($B$28="F",CL28="WA"),"F",IF(AND($B$28="F",CL28="EXC"),"F","-"))))</f>
        <v>-</v>
      </c>
      <c r="CN28" s="61" t="str">
        <f t="shared" si="27"/>
        <v/>
      </c>
      <c r="CO28" s="61" t="str">
        <f t="shared" si="28"/>
        <v/>
      </c>
      <c r="CP28" s="65"/>
      <c r="CQ28" s="47" t="str">
        <f>IF(AND($B$28="M",CP28="WA"),"M",IF(AND($B$28="M",CP28="EXC"),"M",IF(AND($B$28="F",CP28="WA"),"F",IF(AND($B$28="F",CP28="EXC"),"F","-"))))</f>
        <v>-</v>
      </c>
      <c r="CR28" s="68"/>
      <c r="CS28" s="66"/>
      <c r="CT28" s="48"/>
      <c r="CU28" s="70"/>
      <c r="CV28" s="59" t="str">
        <f>IF(AND($B$28="M",CU28="WA"),"M",IF(AND($B$28="M",CU28="EXC"),"M",IF(AND($B$28="F",CU28="WA"),"F",IF(AND($B$28="F",CU28="EXC"),"F","-"))))</f>
        <v>-</v>
      </c>
      <c r="CW28" s="64" t="str">
        <f t="shared" si="29"/>
        <v/>
      </c>
      <c r="CX28" s="69"/>
      <c r="CY28" s="59" t="str">
        <f>IF(AND($B$28="M",CX28="WA"),"M",IF(AND($B$28="M",CX28="EXC"),"M",IF(AND($B$28="F",CX28="WA"),"F",IF(AND($B$28="F",CX28="EXC"),"F","-"))))</f>
        <v>-</v>
      </c>
      <c r="CZ28" s="64" t="str">
        <f t="shared" si="30"/>
        <v/>
      </c>
      <c r="DA28" s="69"/>
      <c r="DB28" s="59" t="str">
        <f>IF(AND($B$28="M",DA28="WA"),"M",IF(AND($B$28="M",DA28="EXC"),"M",IF(AND($B$28="F",DA28="WA"),"F",IF(AND($B$28="F",DA28="EXC"),"F","-"))))</f>
        <v>-</v>
      </c>
      <c r="DC28" s="64" t="str">
        <f t="shared" si="31"/>
        <v/>
      </c>
      <c r="DD28" s="69"/>
      <c r="DE28" s="59" t="str">
        <f>IF(AND($B$28="M",DD28="WA"),"M",IF(AND($B$28="M",DD28="EXC"),"M",IF(AND($B$28="F",DD28="WA"),"F",IF(AND($B$28="F",DD28="EXC"),"F","-"))))</f>
        <v>-</v>
      </c>
      <c r="DF28" s="64" t="str">
        <f t="shared" si="32"/>
        <v/>
      </c>
      <c r="DG28" s="69"/>
      <c r="DH28" s="59" t="str">
        <f>IF(AND($B$28="M",DG28="WA"),"M",IF(AND($B$28="M",DG28="EXC"),"M",IF(AND($B$28="F",DG28="WA"),"F",IF(AND($B$28="F",DG28="EXC"),"F","-"))))</f>
        <v>-</v>
      </c>
      <c r="DI28" s="61" t="str">
        <f t="shared" si="33"/>
        <v/>
      </c>
      <c r="DJ28" s="69"/>
      <c r="DK28" s="59" t="str">
        <f>IF(AND($B$28="M",DJ28="WA"),"M",IF(AND($B$28="M",DJ28="EXC"),"M",IF(AND($B$28="F",DJ28="WA"),"F",IF(AND($B$28="F",DJ28="EXC"),"F","-"))))</f>
        <v>-</v>
      </c>
      <c r="DL28" s="61" t="str">
        <f t="shared" si="34"/>
        <v/>
      </c>
      <c r="DM28" s="61" t="str">
        <f t="shared" si="35"/>
        <v/>
      </c>
      <c r="DN28" s="65"/>
      <c r="DO28" s="47" t="str">
        <f>IF(AND($B$28="M",DN28="WA"),"M",IF(AND($B$28="M",DN28="EXC"),"M",IF(AND($B$28="F",DN28="WA"),"F",IF(AND($B$28="F",DN28="EXC"),"F","-"))))</f>
        <v>-</v>
      </c>
      <c r="DP28" s="68"/>
      <c r="DQ28" s="66"/>
      <c r="DR28" s="48"/>
      <c r="DS28" s="70"/>
      <c r="DT28" s="59" t="str">
        <f>IF(AND($B$28="M",DS28="WA"),"M",IF(AND($B$28="M",DS28="EXC"),"M",IF(AND($B$28="F",DS28="WA"),"F",IF(AND($B$28="F",DS28="EXC"),"F","-"))))</f>
        <v>-</v>
      </c>
      <c r="DU28" s="64" t="str">
        <f t="shared" si="36"/>
        <v/>
      </c>
      <c r="DV28" s="69"/>
      <c r="DW28" s="59" t="str">
        <f>IF(AND($B$28="M",DV28="WA"),"M",IF(AND($B$28="M",DV28="EXC"),"M",IF(AND($B$28="F",DV28="WA"),"F",IF(AND($B$28="F",DV28="EXC"),"F","-"))))</f>
        <v>-</v>
      </c>
      <c r="DX28" s="64" t="str">
        <f t="shared" si="37"/>
        <v/>
      </c>
      <c r="DY28" s="69"/>
      <c r="DZ28" s="59" t="str">
        <f>IF(AND($B$28="M",DY28="WA"),"M",IF(AND($B$28="M",DY28="EXC"),"M",IF(AND($B$28="F",DY28="WA"),"F",IF(AND($B$28="F",DY28="EXC"),"F","-"))))</f>
        <v>-</v>
      </c>
      <c r="EA28" s="64" t="str">
        <f t="shared" si="38"/>
        <v/>
      </c>
      <c r="EB28" s="69"/>
      <c r="EC28" s="59" t="str">
        <f>IF(AND($B$28="M",EB28="WA"),"M",IF(AND($B$28="M",EB28="EXC"),"M",IF(AND($B$28="F",EB28="WA"),"F",IF(AND($B$28="F",EB28="EXC"),"F","-"))))</f>
        <v>-</v>
      </c>
      <c r="ED28" s="64" t="str">
        <f t="shared" si="39"/>
        <v/>
      </c>
      <c r="EE28" s="69"/>
      <c r="EF28" s="59" t="str">
        <f>IF(AND($B$28="M",EE28="WA"),"M",IF(AND($B$28="M",EE28="EXC"),"M",IF(AND($B$28="F",EE28="WA"),"F",IF(AND($B$28="F",EE28="EXC"),"F","-"))))</f>
        <v>-</v>
      </c>
      <c r="EG28" s="61" t="str">
        <f t="shared" si="40"/>
        <v/>
      </c>
      <c r="EH28" s="69"/>
      <c r="EI28" s="59" t="str">
        <f>IF(AND($B$28="M",EH28="WA"),"M",IF(AND($B$28="M",EH28="EXC"),"M",IF(AND($B$28="F",EH28="WA"),"F",IF(AND($B$28="F",EH28="EXC"),"F","-"))))</f>
        <v>-</v>
      </c>
      <c r="EJ28" s="61" t="str">
        <f t="shared" si="41"/>
        <v/>
      </c>
      <c r="EK28" s="61" t="str">
        <f t="shared" si="42"/>
        <v/>
      </c>
      <c r="EL28" s="65"/>
      <c r="EM28" s="47" t="str">
        <f>IF(AND($B$28="M",EL28="WA"),"M",IF(AND($B$28="M",EL28="EXC"),"M",IF(AND($B$28="F",EL28="WA"),"F",IF(AND($B$28="F",EL28="EXC"),"F","-"))))</f>
        <v>-</v>
      </c>
      <c r="EN28" s="68"/>
      <c r="EO28" s="66"/>
      <c r="EP28" s="48"/>
      <c r="EQ28" s="70"/>
      <c r="ER28" s="59" t="str">
        <f>IF(AND($B$28="M",EQ28="WA"),"M",IF(AND($B$28="M",EQ28="EXC"),"M",IF(AND($B$28="F",EQ28="WA"),"F",IF(AND($B$28="F",EQ28="EXC"),"F","-"))))</f>
        <v>-</v>
      </c>
      <c r="ES28" s="64" t="str">
        <f t="shared" si="43"/>
        <v/>
      </c>
      <c r="ET28" s="69"/>
      <c r="EU28" s="59" t="str">
        <f>IF(AND($B$28="M",ET28="WA"),"M",IF(AND($B$28="M",ET28="EXC"),"M",IF(AND($B$28="F",ET28="WA"),"F",IF(AND($B$28="F",ET28="EXC"),"F","-"))))</f>
        <v>-</v>
      </c>
      <c r="EV28" s="64" t="str">
        <f t="shared" si="44"/>
        <v/>
      </c>
      <c r="EW28" s="69"/>
      <c r="EX28" s="59" t="str">
        <f>IF(AND($B$28="M",EW28="WA"),"M",IF(AND($B$28="M",EW28="EXC"),"M",IF(AND($B$28="F",EW28="WA"),"F",IF(AND($B$28="F",EW28="EXC"),"F","-"))))</f>
        <v>-</v>
      </c>
      <c r="EY28" s="64" t="str">
        <f t="shared" si="45"/>
        <v/>
      </c>
      <c r="EZ28" s="69"/>
      <c r="FA28" s="59" t="str">
        <f>IF(AND($B$28="M",EZ28="WA"),"M",IF(AND($B$28="M",EZ28="EXC"),"M",IF(AND($B$28="F",EZ28="WA"),"F",IF(AND($B$28="F",EZ28="EXC"),"F","-"))))</f>
        <v>-</v>
      </c>
      <c r="FB28" s="64" t="str">
        <f t="shared" si="46"/>
        <v/>
      </c>
      <c r="FC28" s="69"/>
      <c r="FD28" s="59" t="str">
        <f>IF(AND($B$28="M",FC28="WA"),"M",IF(AND($B$28="M",FC28="EXC"),"M",IF(AND($B$28="F",FC28="WA"),"F",IF(AND($B$28="F",FC28="EXC"),"F","-"))))</f>
        <v>-</v>
      </c>
      <c r="FE28" s="61" t="str">
        <f t="shared" si="47"/>
        <v/>
      </c>
      <c r="FF28" s="69"/>
      <c r="FG28" s="59" t="str">
        <f>IF(AND($B$28="M",FF28="WA"),"M",IF(AND($B$28="M",FF28="EXC"),"M",IF(AND($B$28="F",FF28="WA"),"F",IF(AND($B$28="F",FF28="EXC"),"F","-"))))</f>
        <v>-</v>
      </c>
      <c r="FH28" s="61" t="str">
        <f t="shared" si="48"/>
        <v/>
      </c>
      <c r="FI28" s="61" t="str">
        <f t="shared" si="49"/>
        <v/>
      </c>
      <c r="FJ28" s="65"/>
      <c r="FK28" s="47" t="str">
        <f>IF(AND($B$28="M",FJ28="WA"),"M",IF(AND($B$28="M",FJ28="EXC"),"M",IF(AND($B$28="F",FJ28="WA"),"F",IF(AND($B$28="F",FJ28="EXC"),"F","-"))))</f>
        <v>-</v>
      </c>
      <c r="FL28" s="68"/>
      <c r="FM28" s="66"/>
      <c r="FN28" s="48"/>
      <c r="FO28" s="70"/>
      <c r="FP28" s="59" t="str">
        <f>IF(AND($B$28="M",FO28="WA"),"M",IF(AND($B$28="M",FO28="EXC"),"M",IF(AND($B$28="F",FO28="WA"),"F",IF(AND($B$28="F",FO28="EXC"),"F","-"))))</f>
        <v>-</v>
      </c>
      <c r="FQ28" s="64" t="str">
        <f t="shared" si="50"/>
        <v/>
      </c>
      <c r="FR28" s="69"/>
      <c r="FS28" s="59" t="str">
        <f>IF(AND($B$28="M",FR28="WA"),"M",IF(AND($B$28="M",FR28="EXC"),"M",IF(AND($B$28="F",FR28="WA"),"F",IF(AND($B$28="F",FR28="EXC"),"F","-"))))</f>
        <v>-</v>
      </c>
      <c r="FT28" s="64" t="str">
        <f t="shared" si="51"/>
        <v/>
      </c>
      <c r="FU28" s="69"/>
      <c r="FV28" s="59" t="str">
        <f>IF(AND($B$28="M",FU28="WA"),"M",IF(AND($B$28="M",FU28="EXC"),"M",IF(AND($B$28="F",FU28="WA"),"F",IF(AND($B$28="F",FU28="EXC"),"F","-"))))</f>
        <v>-</v>
      </c>
      <c r="FW28" s="64" t="str">
        <f t="shared" si="52"/>
        <v/>
      </c>
      <c r="FX28" s="69"/>
      <c r="FY28" s="59" t="str">
        <f>IF(AND($B$28="M",FX28="WA"),"M",IF(AND($B$28="M",FX28="EXC"),"M",IF(AND($B$28="F",FX28="WA"),"F",IF(AND($B$28="F",FX28="EXC"),"F","-"))))</f>
        <v>-</v>
      </c>
      <c r="FZ28" s="64" t="str">
        <f t="shared" si="53"/>
        <v/>
      </c>
      <c r="GA28" s="69"/>
      <c r="GB28" s="59" t="str">
        <f>IF(AND($B$28="M",GA28="WA"),"M",IF(AND($B$28="M",GA28="EXC"),"M",IF(AND($B$28="F",GA28="WA"),"F",IF(AND($B$28="F",GA28="EXC"),"F","-"))))</f>
        <v>-</v>
      </c>
      <c r="GC28" s="61" t="str">
        <f t="shared" si="54"/>
        <v/>
      </c>
      <c r="GD28" s="69"/>
      <c r="GE28" s="59" t="str">
        <f>IF(AND($B$28="M",GD28="WA"),"M",IF(AND($B$28="M",GD28="EXC"),"M",IF(AND($B$28="F",GD28="WA"),"F",IF(AND($B$28="F",GD28="EXC"),"F","-"))))</f>
        <v>-</v>
      </c>
      <c r="GF28" s="61" t="str">
        <f t="shared" si="55"/>
        <v/>
      </c>
      <c r="GG28" s="61" t="str">
        <f t="shared" si="56"/>
        <v/>
      </c>
      <c r="GH28" s="65"/>
      <c r="GI28" s="47" t="str">
        <f>IF(AND($B$28="M",GH28="WA"),"M",IF(AND($B$28="M",GH28="EXC"),"M",IF(AND($B$28="F",GH28="WA"),"F",IF(AND($B$28="F",GH28="EXC"),"F","-"))))</f>
        <v>-</v>
      </c>
      <c r="GJ28" s="68"/>
      <c r="GK28" s="66"/>
      <c r="GL28" s="48"/>
      <c r="GM28" s="70"/>
      <c r="GN28" s="59" t="str">
        <f>IF(AND($B$28="M",GM28="WA"),"M",IF(AND($B$28="M",GM28="EXC"),"M",IF(AND($B$28="F",GM28="WA"),"F",IF(AND($B$28="F",GM28="EXC"),"F","-"))))</f>
        <v>-</v>
      </c>
      <c r="GO28" s="64" t="str">
        <f t="shared" si="57"/>
        <v/>
      </c>
      <c r="GP28" s="69"/>
      <c r="GQ28" s="59" t="str">
        <f>IF(AND($B$28="M",GP28="WA"),"M",IF(AND($B$28="M",GP28="EXC"),"M",IF(AND($B$28="F",GP28="WA"),"F",IF(AND($B$28="F",GP28="EXC"),"F","-"))))</f>
        <v>-</v>
      </c>
      <c r="GR28" s="64" t="str">
        <f t="shared" si="58"/>
        <v/>
      </c>
      <c r="GS28" s="69"/>
      <c r="GT28" s="59" t="str">
        <f>IF(AND($B$28="M",GS28="WA"),"M",IF(AND($B$28="M",GS28="EXC"),"M",IF(AND($B$28="F",GS28="WA"),"F",IF(AND($B$28="F",GS28="EXC"),"F","-"))))</f>
        <v>-</v>
      </c>
      <c r="GU28" s="64" t="str">
        <f t="shared" si="59"/>
        <v/>
      </c>
      <c r="GV28" s="61" t="str">
        <f t="shared" si="60"/>
        <v/>
      </c>
      <c r="GW28" s="65"/>
      <c r="GX28" s="47" t="str">
        <f>IF(AND($B$28="M",GW28="WA"),"M",IF(AND($B$28="M",GW28="EXC"),"M",IF(AND($B$28="F",GW28="WA"),"F",IF(AND($B$28="F",GW28="EXC"),"F","-"))))</f>
        <v>-</v>
      </c>
      <c r="GY28" s="68"/>
      <c r="GZ28" s="66"/>
      <c r="HA28" s="48"/>
      <c r="HB28" s="70"/>
      <c r="HC28" s="59" t="str">
        <f>IF(AND($B$28="M",HB28="WA"),"M",IF(AND($B$28="M",HB28="EXC"),"M",IF(AND($B$28="F",HB28="WA"),"F",IF(AND($B$28="F",HB28="EXC"),"F","-"))))</f>
        <v>-</v>
      </c>
      <c r="HD28" s="64" t="str">
        <f t="shared" si="61"/>
        <v/>
      </c>
      <c r="HE28" s="69"/>
      <c r="HF28" s="59" t="str">
        <f>IF(AND($B$28="M",HE28="WA"),"M",IF(AND($B$28="M",HE28="EXC"),"M",IF(AND($B$28="F",HE28="WA"),"F",IF(AND($B$28="F",HE28="EXC"),"F","-"))))</f>
        <v>-</v>
      </c>
      <c r="HG28" s="64" t="str">
        <f t="shared" si="62"/>
        <v/>
      </c>
      <c r="HH28" s="69"/>
      <c r="HI28" s="59" t="str">
        <f>IF(AND($B$28="M",HH28="WA"),"M",IF(AND($B$28="M",HH28="EXC"),"M",IF(AND($B$28="F",HH28="WA"),"F",IF(AND($B$28="F",HH28="EXC"),"F","-"))))</f>
        <v>-</v>
      </c>
      <c r="HJ28" s="64" t="str">
        <f t="shared" si="63"/>
        <v/>
      </c>
      <c r="HK28" s="61" t="str">
        <f t="shared" si="64"/>
        <v/>
      </c>
      <c r="HL28" s="65"/>
      <c r="HM28" s="47" t="str">
        <f>IF(AND($B$28="M",HL28="WA"),"M",IF(AND($B$28="M",HL28="EXC"),"M",IF(AND($B$28="F",HL28="WA"),"F",IF(AND($B$28="F",HL28="EXC"),"F","-"))))</f>
        <v>-</v>
      </c>
      <c r="HN28" s="13"/>
      <c r="HO28" s="14"/>
      <c r="HP28" s="15"/>
      <c r="HQ28" s="54"/>
      <c r="HR28" s="55" t="str">
        <f>IF(AND($B$28="M",HQ28="WA"),"M",IF(AND($B$28="M",HQ28="EXC"),"M",IF(AND($B$28="F",HQ28="WA"),"F",IF(AND($B$28="F",HQ28="EXC"),"F","-"))))</f>
        <v>-</v>
      </c>
      <c r="HS28" s="56" t="str">
        <f t="shared" si="65"/>
        <v/>
      </c>
      <c r="HT28" s="54"/>
      <c r="HU28" s="55" t="str">
        <f>IF(AND($B$28="M",HT28="WA"),"M",IF(AND($B$28="M",HT28="EXC"),"M",IF(AND($B$28="F",HT28="WA"),"F",IF(AND($B$28="F",HT28="EXC"),"F","-"))))</f>
        <v>-</v>
      </c>
      <c r="HV28" s="56" t="str">
        <f t="shared" si="66"/>
        <v/>
      </c>
      <c r="HW28" s="54"/>
      <c r="HX28" s="55" t="str">
        <f>IF(AND($B$28="M",HW28="WA"),"M",IF(AND($B$28="M",HW28="EXC"),"M",IF(AND($B$28="F",HW28="WA"),"F",IF(AND($B$28="F",HW28="EXC"),"F","-"))))</f>
        <v>-</v>
      </c>
      <c r="HY28" s="56" t="str">
        <f t="shared" si="67"/>
        <v/>
      </c>
      <c r="HZ28" s="54" t="str">
        <f t="shared" si="68"/>
        <v/>
      </c>
      <c r="IA28" s="67"/>
      <c r="IB28" s="55" t="str">
        <f>IF(AND($B$28="M",IA28="WA"),"M",IF(AND($B$28="M",IA28="EXC"),"M",IF(AND($B$28="F",IA28="WA"),"F",IF(AND($B$28="F",IA28="EXC"),"F","-"))))</f>
        <v>-</v>
      </c>
      <c r="IC28" s="17"/>
    </row>
    <row r="29">
      <c r="A29" s="40"/>
      <c r="B29" s="71"/>
      <c r="C29" s="69"/>
      <c r="D29" s="59" t="str">
        <f>IF(AND($B$29="M",C29="WA"),"M",IF(AND($B$29="M",C29="EXC"),"M",IF(AND($B$29="F",C29="WA"),"F",IF(AND($B$29="F",C29="EXC"),"F","-"))))</f>
        <v>-</v>
      </c>
      <c r="E29" s="60" t="str">
        <f t="shared" si="1"/>
        <v/>
      </c>
      <c r="F29" s="69"/>
      <c r="G29" s="59" t="str">
        <f>IF(AND($B$29="M",F29="WA"),"M",IF(AND($B$29="M",F29="EXC"),"M",IF(AND($B$29="F",F29="WA"),"F",IF(AND($B$29="F",F29="EXC"),"F","-"))))</f>
        <v>-</v>
      </c>
      <c r="H29" s="60" t="str">
        <f t="shared" si="2"/>
        <v/>
      </c>
      <c r="I29" s="69"/>
      <c r="J29" s="59" t="str">
        <f>IF(AND($B$29="M",I29="WA"),"M",IF(AND($B$29="M",I29="EXC"),"M",IF(AND($B$29="F",I29="WA"),"F",IF(AND($B$29="F",I29="EXC"),"F","-"))))</f>
        <v>-</v>
      </c>
      <c r="K29" s="60" t="str">
        <f t="shared" si="3"/>
        <v/>
      </c>
      <c r="L29" s="69"/>
      <c r="M29" s="59" t="str">
        <f>IF(AND($B$29="M",L29="WA"),"M",IF(AND($B$29="M",L29="EXC"),"M",IF(AND($B$29="F",L29="WA"),"F",IF(AND($B$29="F",L29="EXC"),"F","-"))))</f>
        <v>-</v>
      </c>
      <c r="N29" s="60" t="str">
        <f t="shared" si="4"/>
        <v/>
      </c>
      <c r="O29" s="69"/>
      <c r="P29" s="59" t="str">
        <f>IF(AND($B$29="M",O29="WA"),"M",IF(AND($B$29="M",O29="EXC"),"M",IF(AND($B$29="F",O29="WA"),"F",IF(AND($B$29="F",O29="EXC"),"F","-"))))</f>
        <v>-</v>
      </c>
      <c r="Q29" s="60" t="str">
        <f t="shared" si="5"/>
        <v/>
      </c>
      <c r="R29" s="69"/>
      <c r="S29" s="59" t="str">
        <f>IF(AND($B$29="M",R29="WA"),"M",IF(AND($B$29="M",R29="EXC"),"M",IF(AND($B$29="F",R29="WA"),"F",IF(AND($B$29="F",R29="EXC"),"F","-"))))</f>
        <v>-</v>
      </c>
      <c r="T29" s="60" t="str">
        <f t="shared" si="6"/>
        <v/>
      </c>
      <c r="U29" s="61" t="str">
        <f t="shared" si="7"/>
        <v/>
      </c>
      <c r="V29" s="62"/>
      <c r="W29" s="47" t="str">
        <f>IF(AND($B$29="M",V29="WA"),"M",IF(AND($B$29="M",V29="EXC"),"M",IF(AND($B$29="F",V29="WA"),"F",IF(AND($B$29="F",V29="EXC"),"F","-"))))</f>
        <v>-</v>
      </c>
      <c r="X29" s="48"/>
      <c r="Y29" s="49"/>
      <c r="Z29" s="48"/>
      <c r="AA29" s="70"/>
      <c r="AB29" s="59" t="str">
        <f>IF(AND($B$29="M",AA29="WA"),"M",IF(AND($B$29="M",AA29="EXC"),"M",IF(AND($B$29="F",AA29="WA"),"F",IF(AND($B$29="F",AA29="EXC"),"F","-"))))</f>
        <v>-</v>
      </c>
      <c r="AC29" s="64" t="str">
        <f t="shared" si="8"/>
        <v/>
      </c>
      <c r="AD29" s="69"/>
      <c r="AE29" s="59" t="str">
        <f>IF(AND($B$29="M",AD29="WA"),"M",IF(AND($B$29="M",AD29="EXC"),"M",IF(AND($B$29="F",AD29="WA"),"F",IF(AND($B$29="F",AD29="EXC"),"F","-"))))</f>
        <v>-</v>
      </c>
      <c r="AF29" s="64" t="str">
        <f t="shared" si="9"/>
        <v/>
      </c>
      <c r="AG29" s="69"/>
      <c r="AH29" s="59" t="str">
        <f>IF(AND($B$29="M",AG29="WA"),"M",IF(AND($B$29="M",AG29="EXC"),"M",IF(AND($B$29="F",AG29="WA"),"F",IF(AND($B$29="F",AG29="EXC"),"F","-"))))</f>
        <v>-</v>
      </c>
      <c r="AI29" s="64" t="str">
        <f t="shared" si="10"/>
        <v/>
      </c>
      <c r="AJ29" s="69"/>
      <c r="AK29" s="59" t="str">
        <f>IF(AND($B$29="M",AJ29="WA"),"M",IF(AND($B$29="M",AJ29="EXC"),"M",IF(AND($B$29="F",AJ29="WA"),"F",IF(AND($B$29="F",AJ29="EXC"),"F","-"))))</f>
        <v>-</v>
      </c>
      <c r="AL29" s="64" t="str">
        <f t="shared" si="11"/>
        <v/>
      </c>
      <c r="AM29" s="69"/>
      <c r="AN29" s="59" t="str">
        <f>IF(AND($B$29="M",AM29="WA"),"M",IF(AND($B$29="M",AM29="EXC"),"M",IF(AND($B$29="F",AM29="WA"),"F",IF(AND($B$29="F",AM29="EXC"),"F","-"))))</f>
        <v>-</v>
      </c>
      <c r="AO29" s="61" t="str">
        <f t="shared" si="12"/>
        <v/>
      </c>
      <c r="AP29" s="69"/>
      <c r="AQ29" s="59" t="str">
        <f>IF(AND($B$29="M",AP29="WA"),"M",IF(AND($B$29="M",AP29="EXC"),"M",IF(AND($B$29="F",AP29="WA"),"F",IF(AND($B$29="F",AP29="EXC"),"F","-"))))</f>
        <v>-</v>
      </c>
      <c r="AR29" s="61" t="str">
        <f t="shared" si="13"/>
        <v/>
      </c>
      <c r="AS29" s="61" t="str">
        <f t="shared" si="14"/>
        <v/>
      </c>
      <c r="AT29" s="65"/>
      <c r="AU29" s="47" t="str">
        <f>IF(AND($B$29="M",AT29="WA"),"M",IF(AND($B$29="M",AT29="EXC"),"M",IF(AND($B$29="F",AT29="WA"),"F",IF(AND($B$29="F",AT29="EXC"),"F","-"))))</f>
        <v>-</v>
      </c>
      <c r="AV29" s="68"/>
      <c r="AW29" s="66"/>
      <c r="AX29" s="48"/>
      <c r="AY29" s="70"/>
      <c r="AZ29" s="59" t="str">
        <f>IF(AND($B$29="M",AY29="WA"),"M",IF(AND($B$29="M",AY29="EXC"),"M",IF(AND($B$29="F",AY29="WA"),"F",IF(AND($B$29="F",AY29="EXC"),"F","-"))))</f>
        <v>-</v>
      </c>
      <c r="BA29" s="64" t="str">
        <f t="shared" si="15"/>
        <v/>
      </c>
      <c r="BB29" s="69"/>
      <c r="BC29" s="59" t="str">
        <f>IF(AND($B$29="M",BB29="WA"),"M",IF(AND($B$29="M",BB29="EXC"),"M",IF(AND($B$29="F",BB29="WA"),"F",IF(AND($B$29="F",BB29="EXC"),"F","-"))))</f>
        <v>-</v>
      </c>
      <c r="BD29" s="64" t="str">
        <f t="shared" si="16"/>
        <v/>
      </c>
      <c r="BE29" s="69"/>
      <c r="BF29" s="59" t="str">
        <f>IF(AND($B$29="M",BE29="WA"),"M",IF(AND($B$29="M",BE29="EXC"),"M",IF(AND($B$29="F",BE29="WA"),"F",IF(AND($B$29="F",BE29="EXC"),"F","-"))))</f>
        <v>-</v>
      </c>
      <c r="BG29" s="64" t="str">
        <f t="shared" si="17"/>
        <v/>
      </c>
      <c r="BH29" s="69"/>
      <c r="BI29" s="59" t="str">
        <f>IF(AND($B$29="M",BH29="WA"),"M",IF(AND($B$29="M",BH29="EXC"),"M",IF(AND($B$29="F",BH29="WA"),"F",IF(AND($B$29="F",BH29="EXC"),"F","-"))))</f>
        <v>-</v>
      </c>
      <c r="BJ29" s="64" t="str">
        <f t="shared" si="18"/>
        <v/>
      </c>
      <c r="BK29" s="69"/>
      <c r="BL29" s="59" t="str">
        <f>IF(AND($B$29="M",BK29="WA"),"M",IF(AND($B$29="M",BK29="EXC"),"M",IF(AND($B$29="F",BK29="WA"),"F",IF(AND($B$29="F",BK29="EXC"),"F","-"))))</f>
        <v>-</v>
      </c>
      <c r="BM29" s="61" t="str">
        <f t="shared" si="19"/>
        <v/>
      </c>
      <c r="BN29" s="69"/>
      <c r="BO29" s="59" t="str">
        <f>IF(AND($B$29="M",BN29="WA"),"M",IF(AND($B$29="M",BN29="EXC"),"M",IF(AND($B$29="F",BN29="WA"),"F",IF(AND($B$29="F",BN29="EXC"),"F","-"))))</f>
        <v>-</v>
      </c>
      <c r="BP29" s="61" t="str">
        <f t="shared" si="20"/>
        <v/>
      </c>
      <c r="BQ29" s="61" t="str">
        <f t="shared" si="21"/>
        <v/>
      </c>
      <c r="BR29" s="65"/>
      <c r="BS29" s="47" t="str">
        <f>IF(AND($B$29="M",BR29="WA"),"M",IF(AND($B$29="M",BR29="EXC"),"M",IF(AND($B$29="F",BR29="WA"),"F",IF(AND($B$29="F",BR29="EXC"),"F","-"))))</f>
        <v>-</v>
      </c>
      <c r="BT29" s="68"/>
      <c r="BU29" s="66"/>
      <c r="BV29" s="48"/>
      <c r="BW29" s="70"/>
      <c r="BX29" s="59" t="str">
        <f>IF(AND($B$29="M",BW29="WA"),"M",IF(AND($B$29="M",BW29="EXC"),"M",IF(AND($B$29="F",BW29="WA"),"F",IF(AND($B$29="F",BW29="EXC"),"F","-"))))</f>
        <v>-</v>
      </c>
      <c r="BY29" s="64" t="str">
        <f t="shared" si="22"/>
        <v/>
      </c>
      <c r="BZ29" s="69"/>
      <c r="CA29" s="59" t="str">
        <f>IF(AND($B$29="M",BZ29="WA"),"M",IF(AND($B$29="M",BZ29="EXC"),"M",IF(AND($B$29="F",BZ29="WA"),"F",IF(AND($B$29="F",BZ29="EXC"),"F","-"))))</f>
        <v>-</v>
      </c>
      <c r="CB29" s="64" t="str">
        <f t="shared" si="23"/>
        <v/>
      </c>
      <c r="CC29" s="69"/>
      <c r="CD29" s="59" t="str">
        <f>IF(AND($B$29="M",CC29="WA"),"M",IF(AND($B$29="M",CC29="EXC"),"M",IF(AND($B$29="F",CC29="WA"),"F",IF(AND($B$29="F",CC29="EXC"),"F","-"))))</f>
        <v>-</v>
      </c>
      <c r="CE29" s="64" t="str">
        <f t="shared" si="24"/>
        <v/>
      </c>
      <c r="CF29" s="69"/>
      <c r="CG29" s="59" t="str">
        <f>IF(AND($B$29="M",CF29="WA"),"M",IF(AND($B$29="M",CF29="EXC"),"M",IF(AND($B$29="F",CF29="WA"),"F",IF(AND($B$29="F",CF29="EXC"),"F","-"))))</f>
        <v>-</v>
      </c>
      <c r="CH29" s="64" t="str">
        <f t="shared" si="25"/>
        <v/>
      </c>
      <c r="CI29" s="69"/>
      <c r="CJ29" s="59" t="str">
        <f>IF(AND($B$29="M",CI29="WA"),"M",IF(AND($B$29="M",CI29="EXC"),"M",IF(AND($B$29="F",CI29="WA"),"F",IF(AND($B$29="F",CI29="EXC"),"F","-"))))</f>
        <v>-</v>
      </c>
      <c r="CK29" s="61" t="str">
        <f t="shared" si="26"/>
        <v/>
      </c>
      <c r="CL29" s="69"/>
      <c r="CM29" s="59" t="str">
        <f>IF(AND($B$29="M",CL29="WA"),"M",IF(AND($B$29="M",CL29="EXC"),"M",IF(AND($B$29="F",CL29="WA"),"F",IF(AND($B$29="F",CL29="EXC"),"F","-"))))</f>
        <v>-</v>
      </c>
      <c r="CN29" s="61" t="str">
        <f t="shared" si="27"/>
        <v/>
      </c>
      <c r="CO29" s="61" t="str">
        <f t="shared" si="28"/>
        <v/>
      </c>
      <c r="CP29" s="65"/>
      <c r="CQ29" s="47" t="str">
        <f>IF(AND($B$29="M",CP29="WA"),"M",IF(AND($B$29="M",CP29="EXC"),"M",IF(AND($B$29="F",CP29="WA"),"F",IF(AND($B$29="F",CP29="EXC"),"F","-"))))</f>
        <v>-</v>
      </c>
      <c r="CR29" s="68"/>
      <c r="CS29" s="66"/>
      <c r="CT29" s="48"/>
      <c r="CU29" s="70"/>
      <c r="CV29" s="59" t="str">
        <f>IF(AND($B$29="M",CU29="WA"),"M",IF(AND($B$29="M",CU29="EXC"),"M",IF(AND($B$29="F",CU29="WA"),"F",IF(AND($B$29="F",CU29="EXC"),"F","-"))))</f>
        <v>-</v>
      </c>
      <c r="CW29" s="64" t="str">
        <f t="shared" si="29"/>
        <v/>
      </c>
      <c r="CX29" s="69"/>
      <c r="CY29" s="59" t="str">
        <f>IF(AND($B$29="M",CX29="WA"),"M",IF(AND($B$29="M",CX29="EXC"),"M",IF(AND($B$29="F",CX29="WA"),"F",IF(AND($B$29="F",CX29="EXC"),"F","-"))))</f>
        <v>-</v>
      </c>
      <c r="CZ29" s="64" t="str">
        <f t="shared" si="30"/>
        <v/>
      </c>
      <c r="DA29" s="69"/>
      <c r="DB29" s="59" t="str">
        <f>IF(AND($B$29="M",DA29="WA"),"M",IF(AND($B$29="M",DA29="EXC"),"M",IF(AND($B$29="F",DA29="WA"),"F",IF(AND($B$29="F",DA29="EXC"),"F","-"))))</f>
        <v>-</v>
      </c>
      <c r="DC29" s="64" t="str">
        <f t="shared" si="31"/>
        <v/>
      </c>
      <c r="DD29" s="69"/>
      <c r="DE29" s="59" t="str">
        <f>IF(AND($B$29="M",DD29="WA"),"M",IF(AND($B$29="M",DD29="EXC"),"M",IF(AND($B$29="F",DD29="WA"),"F",IF(AND($B$29="F",DD29="EXC"),"F","-"))))</f>
        <v>-</v>
      </c>
      <c r="DF29" s="64" t="str">
        <f t="shared" si="32"/>
        <v/>
      </c>
      <c r="DG29" s="69"/>
      <c r="DH29" s="59" t="str">
        <f>IF(AND($B$29="M",DG29="WA"),"M",IF(AND($B$29="M",DG29="EXC"),"M",IF(AND($B$29="F",DG29="WA"),"F",IF(AND($B$29="F",DG29="EXC"),"F","-"))))</f>
        <v>-</v>
      </c>
      <c r="DI29" s="61" t="str">
        <f t="shared" si="33"/>
        <v/>
      </c>
      <c r="DJ29" s="69"/>
      <c r="DK29" s="59" t="str">
        <f>IF(AND($B$29="M",DJ29="WA"),"M",IF(AND($B$29="M",DJ29="EXC"),"M",IF(AND($B$29="F",DJ29="WA"),"F",IF(AND($B$29="F",DJ29="EXC"),"F","-"))))</f>
        <v>-</v>
      </c>
      <c r="DL29" s="61" t="str">
        <f t="shared" si="34"/>
        <v/>
      </c>
      <c r="DM29" s="61" t="str">
        <f t="shared" si="35"/>
        <v/>
      </c>
      <c r="DN29" s="65"/>
      <c r="DO29" s="47" t="str">
        <f>IF(AND($B$29="M",DN29="WA"),"M",IF(AND($B$29="M",DN29="EXC"),"M",IF(AND($B$29="F",DN29="WA"),"F",IF(AND($B$29="F",DN29="EXC"),"F","-"))))</f>
        <v>-</v>
      </c>
      <c r="DP29" s="68"/>
      <c r="DQ29" s="66"/>
      <c r="DR29" s="48"/>
      <c r="DS29" s="70"/>
      <c r="DT29" s="59" t="str">
        <f>IF(AND($B$29="M",DS29="WA"),"M",IF(AND($B$29="M",DS29="EXC"),"M",IF(AND($B$29="F",DS29="WA"),"F",IF(AND($B$29="F",DS29="EXC"),"F","-"))))</f>
        <v>-</v>
      </c>
      <c r="DU29" s="64" t="str">
        <f t="shared" si="36"/>
        <v/>
      </c>
      <c r="DV29" s="69"/>
      <c r="DW29" s="59" t="str">
        <f>IF(AND($B$29="M",DV29="WA"),"M",IF(AND($B$29="M",DV29="EXC"),"M",IF(AND($B$29="F",DV29="WA"),"F",IF(AND($B$29="F",DV29="EXC"),"F","-"))))</f>
        <v>-</v>
      </c>
      <c r="DX29" s="64" t="str">
        <f t="shared" si="37"/>
        <v/>
      </c>
      <c r="DY29" s="69"/>
      <c r="DZ29" s="59" t="str">
        <f>IF(AND($B$29="M",DY29="WA"),"M",IF(AND($B$29="M",DY29="EXC"),"M",IF(AND($B$29="F",DY29="WA"),"F",IF(AND($B$29="F",DY29="EXC"),"F","-"))))</f>
        <v>-</v>
      </c>
      <c r="EA29" s="64" t="str">
        <f t="shared" si="38"/>
        <v/>
      </c>
      <c r="EB29" s="69"/>
      <c r="EC29" s="59" t="str">
        <f>IF(AND($B$29="M",EB29="WA"),"M",IF(AND($B$29="M",EB29="EXC"),"M",IF(AND($B$29="F",EB29="WA"),"F",IF(AND($B$29="F",EB29="EXC"),"F","-"))))</f>
        <v>-</v>
      </c>
      <c r="ED29" s="64" t="str">
        <f t="shared" si="39"/>
        <v/>
      </c>
      <c r="EE29" s="69"/>
      <c r="EF29" s="59" t="str">
        <f>IF(AND($B$29="M",EE29="WA"),"M",IF(AND($B$29="M",EE29="EXC"),"M",IF(AND($B$29="F",EE29="WA"),"F",IF(AND($B$29="F",EE29="EXC"),"F","-"))))</f>
        <v>-</v>
      </c>
      <c r="EG29" s="61" t="str">
        <f t="shared" si="40"/>
        <v/>
      </c>
      <c r="EH29" s="69"/>
      <c r="EI29" s="59" t="str">
        <f>IF(AND($B$29="M",EH29="WA"),"M",IF(AND($B$29="M",EH29="EXC"),"M",IF(AND($B$29="F",EH29="WA"),"F",IF(AND($B$29="F",EH29="EXC"),"F","-"))))</f>
        <v>-</v>
      </c>
      <c r="EJ29" s="61" t="str">
        <f t="shared" si="41"/>
        <v/>
      </c>
      <c r="EK29" s="61" t="str">
        <f t="shared" si="42"/>
        <v/>
      </c>
      <c r="EL29" s="65"/>
      <c r="EM29" s="47" t="str">
        <f>IF(AND($B$29="M",EL29="WA"),"M",IF(AND($B$29="M",EL29="EXC"),"M",IF(AND($B$29="F",EL29="WA"),"F",IF(AND($B$29="F",EL29="EXC"),"F","-"))))</f>
        <v>-</v>
      </c>
      <c r="EN29" s="68"/>
      <c r="EO29" s="66"/>
      <c r="EP29" s="48"/>
      <c r="EQ29" s="70"/>
      <c r="ER29" s="59" t="str">
        <f>IF(AND($B$29="M",EQ29="WA"),"M",IF(AND($B$29="M",EQ29="EXC"),"M",IF(AND($B$29="F",EQ29="WA"),"F",IF(AND($B$29="F",EQ29="EXC"),"F","-"))))</f>
        <v>-</v>
      </c>
      <c r="ES29" s="64" t="str">
        <f t="shared" si="43"/>
        <v/>
      </c>
      <c r="ET29" s="69"/>
      <c r="EU29" s="59" t="str">
        <f>IF(AND($B$29="M",ET29="WA"),"M",IF(AND($B$29="M",ET29="EXC"),"M",IF(AND($B$29="F",ET29="WA"),"F",IF(AND($B$29="F",ET29="EXC"),"F","-"))))</f>
        <v>-</v>
      </c>
      <c r="EV29" s="64" t="str">
        <f t="shared" si="44"/>
        <v/>
      </c>
      <c r="EW29" s="69"/>
      <c r="EX29" s="59" t="str">
        <f>IF(AND($B$29="M",EW29="WA"),"M",IF(AND($B$29="M",EW29="EXC"),"M",IF(AND($B$29="F",EW29="WA"),"F",IF(AND($B$29="F",EW29="EXC"),"F","-"))))</f>
        <v>-</v>
      </c>
      <c r="EY29" s="64" t="str">
        <f t="shared" si="45"/>
        <v/>
      </c>
      <c r="EZ29" s="69"/>
      <c r="FA29" s="59" t="str">
        <f>IF(AND($B$29="M",EZ29="WA"),"M",IF(AND($B$29="M",EZ29="EXC"),"M",IF(AND($B$29="F",EZ29="WA"),"F",IF(AND($B$29="F",EZ29="EXC"),"F","-"))))</f>
        <v>-</v>
      </c>
      <c r="FB29" s="64" t="str">
        <f t="shared" si="46"/>
        <v/>
      </c>
      <c r="FC29" s="69"/>
      <c r="FD29" s="59" t="str">
        <f>IF(AND($B$29="M",FC29="WA"),"M",IF(AND($B$29="M",FC29="EXC"),"M",IF(AND($B$29="F",FC29="WA"),"F",IF(AND($B$29="F",FC29="EXC"),"F","-"))))</f>
        <v>-</v>
      </c>
      <c r="FE29" s="61" t="str">
        <f t="shared" si="47"/>
        <v/>
      </c>
      <c r="FF29" s="69"/>
      <c r="FG29" s="59" t="str">
        <f>IF(AND($B$29="M",FF29="WA"),"M",IF(AND($B$29="M",FF29="EXC"),"M",IF(AND($B$29="F",FF29="WA"),"F",IF(AND($B$29="F",FF29="EXC"),"F","-"))))</f>
        <v>-</v>
      </c>
      <c r="FH29" s="61" t="str">
        <f t="shared" si="48"/>
        <v/>
      </c>
      <c r="FI29" s="61" t="str">
        <f t="shared" si="49"/>
        <v/>
      </c>
      <c r="FJ29" s="65"/>
      <c r="FK29" s="47" t="str">
        <f>IF(AND($B$29="M",FJ29="WA"),"M",IF(AND($B$29="M",FJ29="EXC"),"M",IF(AND($B$29="F",FJ29="WA"),"F",IF(AND($B$29="F",FJ29="EXC"),"F","-"))))</f>
        <v>-</v>
      </c>
      <c r="FL29" s="68"/>
      <c r="FM29" s="66"/>
      <c r="FN29" s="48"/>
      <c r="FO29" s="70"/>
      <c r="FP29" s="59" t="str">
        <f>IF(AND($B$29="M",FO29="WA"),"M",IF(AND($B$29="M",FO29="EXC"),"M",IF(AND($B$29="F",FO29="WA"),"F",IF(AND($B$29="F",FO29="EXC"),"F","-"))))</f>
        <v>-</v>
      </c>
      <c r="FQ29" s="64" t="str">
        <f t="shared" si="50"/>
        <v/>
      </c>
      <c r="FR29" s="69"/>
      <c r="FS29" s="59" t="str">
        <f>IF(AND($B$29="M",FR29="WA"),"M",IF(AND($B$29="M",FR29="EXC"),"M",IF(AND($B$29="F",FR29="WA"),"F",IF(AND($B$29="F",FR29="EXC"),"F","-"))))</f>
        <v>-</v>
      </c>
      <c r="FT29" s="64" t="str">
        <f t="shared" si="51"/>
        <v/>
      </c>
      <c r="FU29" s="69"/>
      <c r="FV29" s="59" t="str">
        <f>IF(AND($B$29="M",FU29="WA"),"M",IF(AND($B$29="M",FU29="EXC"),"M",IF(AND($B$29="F",FU29="WA"),"F",IF(AND($B$29="F",FU29="EXC"),"F","-"))))</f>
        <v>-</v>
      </c>
      <c r="FW29" s="64" t="str">
        <f t="shared" si="52"/>
        <v/>
      </c>
      <c r="FX29" s="69"/>
      <c r="FY29" s="59" t="str">
        <f>IF(AND($B$29="M",FX29="WA"),"M",IF(AND($B$29="M",FX29="EXC"),"M",IF(AND($B$29="F",FX29="WA"),"F",IF(AND($B$29="F",FX29="EXC"),"F","-"))))</f>
        <v>-</v>
      </c>
      <c r="FZ29" s="64" t="str">
        <f t="shared" si="53"/>
        <v/>
      </c>
      <c r="GA29" s="69"/>
      <c r="GB29" s="59" t="str">
        <f>IF(AND($B$29="M",GA29="WA"),"M",IF(AND($B$29="M",GA29="EXC"),"M",IF(AND($B$29="F",GA29="WA"),"F",IF(AND($B$29="F",GA29="EXC"),"F","-"))))</f>
        <v>-</v>
      </c>
      <c r="GC29" s="61" t="str">
        <f t="shared" si="54"/>
        <v/>
      </c>
      <c r="GD29" s="69"/>
      <c r="GE29" s="59" t="str">
        <f>IF(AND($B$29="M",GD29="WA"),"M",IF(AND($B$29="M",GD29="EXC"),"M",IF(AND($B$29="F",GD29="WA"),"F",IF(AND($B$29="F",GD29="EXC"),"F","-"))))</f>
        <v>-</v>
      </c>
      <c r="GF29" s="61" t="str">
        <f t="shared" si="55"/>
        <v/>
      </c>
      <c r="GG29" s="61" t="str">
        <f t="shared" si="56"/>
        <v/>
      </c>
      <c r="GH29" s="65"/>
      <c r="GI29" s="47" t="str">
        <f>IF(AND($B$29="M",GH29="WA"),"M",IF(AND($B$29="M",GH29="EXC"),"M",IF(AND($B$29="F",GH29="WA"),"F",IF(AND($B$29="F",GH29="EXC"),"F","-"))))</f>
        <v>-</v>
      </c>
      <c r="GJ29" s="68"/>
      <c r="GK29" s="66"/>
      <c r="GL29" s="48"/>
      <c r="GM29" s="70"/>
      <c r="GN29" s="59" t="str">
        <f>IF(AND($B$29="M",GM29="WA"),"M",IF(AND($B$29="M",GM29="EXC"),"M",IF(AND($B$29="F",GM29="WA"),"F",IF(AND($B$29="F",GM29="EXC"),"F","-"))))</f>
        <v>-</v>
      </c>
      <c r="GO29" s="64" t="str">
        <f t="shared" si="57"/>
        <v/>
      </c>
      <c r="GP29" s="69"/>
      <c r="GQ29" s="59" t="str">
        <f>IF(AND($B$29="M",GP29="WA"),"M",IF(AND($B$29="M",GP29="EXC"),"M",IF(AND($B$29="F",GP29="WA"),"F",IF(AND($B$29="F",GP29="EXC"),"F","-"))))</f>
        <v>-</v>
      </c>
      <c r="GR29" s="64" t="str">
        <f t="shared" si="58"/>
        <v/>
      </c>
      <c r="GS29" s="69"/>
      <c r="GT29" s="59" t="str">
        <f>IF(AND($B$29="M",GS29="WA"),"M",IF(AND($B$29="M",GS29="EXC"),"M",IF(AND($B$29="F",GS29="WA"),"F",IF(AND($B$29="F",GS29="EXC"),"F","-"))))</f>
        <v>-</v>
      </c>
      <c r="GU29" s="64" t="str">
        <f t="shared" si="59"/>
        <v/>
      </c>
      <c r="GV29" s="61" t="str">
        <f t="shared" si="60"/>
        <v/>
      </c>
      <c r="GW29" s="65"/>
      <c r="GX29" s="47" t="str">
        <f>IF(AND($B$29="M",GW29="WA"),"M",IF(AND($B$29="M",GW29="EXC"),"M",IF(AND($B$29="F",GW29="WA"),"F",IF(AND($B$29="F",GW29="EXC"),"F","-"))))</f>
        <v>-</v>
      </c>
      <c r="GY29" s="68"/>
      <c r="GZ29" s="66"/>
      <c r="HA29" s="48"/>
      <c r="HB29" s="70"/>
      <c r="HC29" s="59" t="str">
        <f>IF(AND($B$29="M",HB29="WA"),"M",IF(AND($B$29="M",HB29="EXC"),"M",IF(AND($B$29="F",HB29="WA"),"F",IF(AND($B$29="F",HB29="EXC"),"F","-"))))</f>
        <v>-</v>
      </c>
      <c r="HD29" s="64" t="str">
        <f t="shared" si="61"/>
        <v/>
      </c>
      <c r="HE29" s="69"/>
      <c r="HF29" s="59" t="str">
        <f>IF(AND($B$29="M",HE29="WA"),"M",IF(AND($B$29="M",HE29="EXC"),"M",IF(AND($B$29="F",HE29="WA"),"F",IF(AND($B$29="F",HE29="EXC"),"F","-"))))</f>
        <v>-</v>
      </c>
      <c r="HG29" s="64" t="str">
        <f t="shared" si="62"/>
        <v/>
      </c>
      <c r="HH29" s="69"/>
      <c r="HI29" s="59" t="str">
        <f>IF(AND($B$29="M",HH29="WA"),"M",IF(AND($B$29="M",HH29="EXC"),"M",IF(AND($B$29="F",HH29="WA"),"F",IF(AND($B$29="F",HH29="EXC"),"F","-"))))</f>
        <v>-</v>
      </c>
      <c r="HJ29" s="64" t="str">
        <f t="shared" si="63"/>
        <v/>
      </c>
      <c r="HK29" s="61" t="str">
        <f t="shared" si="64"/>
        <v/>
      </c>
      <c r="HL29" s="65"/>
      <c r="HM29" s="47" t="str">
        <f>IF(AND($B$29="M",HL29="WA"),"M",IF(AND($B$29="M",HL29="EXC"),"M",IF(AND($B$29="F",HL29="WA"),"F",IF(AND($B$29="F",HL29="EXC"),"F","-"))))</f>
        <v>-</v>
      </c>
      <c r="HN29" s="13"/>
      <c r="HO29" s="14"/>
      <c r="HP29" s="15"/>
      <c r="HQ29" s="54"/>
      <c r="HR29" s="55" t="str">
        <f>IF(AND($B$29="M",HQ29="WA"),"M",IF(AND($B$29="M",HQ29="EXC"),"M",IF(AND($B$29="F",HQ29="WA"),"F",IF(AND($B$29="F",HQ29="EXC"),"F","-"))))</f>
        <v>-</v>
      </c>
      <c r="HS29" s="56" t="str">
        <f t="shared" si="65"/>
        <v/>
      </c>
      <c r="HT29" s="54"/>
      <c r="HU29" s="55" t="str">
        <f>IF(AND($B$29="M",HT29="WA"),"M",IF(AND($B$29="M",HT29="EXC"),"M",IF(AND($B$29="F",HT29="WA"),"F",IF(AND($B$29="F",HT29="EXC"),"F","-"))))</f>
        <v>-</v>
      </c>
      <c r="HV29" s="56" t="str">
        <f t="shared" si="66"/>
        <v/>
      </c>
      <c r="HW29" s="54"/>
      <c r="HX29" s="55" t="str">
        <f>IF(AND($B$29="M",HW29="WA"),"M",IF(AND($B$29="M",HW29="EXC"),"M",IF(AND($B$29="F",HW29="WA"),"F",IF(AND($B$29="F",HW29="EXC"),"F","-"))))</f>
        <v>-</v>
      </c>
      <c r="HY29" s="56" t="str">
        <f t="shared" si="67"/>
        <v/>
      </c>
      <c r="HZ29" s="54" t="str">
        <f t="shared" si="68"/>
        <v/>
      </c>
      <c r="IA29" s="67"/>
      <c r="IB29" s="55" t="str">
        <f>IF(AND($B$29="M",IA29="WA"),"M",IF(AND($B$29="M",IA29="EXC"),"M",IF(AND($B$29="F",IA29="WA"),"F",IF(AND($B$29="F",IA29="EXC"),"F","-"))))</f>
        <v>-</v>
      </c>
      <c r="IC29" s="17"/>
    </row>
    <row r="30">
      <c r="A30" s="40"/>
      <c r="B30" s="71"/>
      <c r="C30" s="69"/>
      <c r="D30" s="59" t="str">
        <f t="shared" ref="D30:D31" si="69">IF(AND($B$30="M",C30="WA"),"M",IF(AND($B$30="M",C30="EXC"),"M",IF(AND($B$30="F",C30="WA"),"F",IF(AND($B$30="F",C30="EXC"),"F","-"))))</f>
        <v>-</v>
      </c>
      <c r="E30" s="60" t="str">
        <f t="shared" si="1"/>
        <v/>
      </c>
      <c r="F30" s="69"/>
      <c r="G30" s="59" t="str">
        <f t="shared" ref="G30:G31" si="70">IF(AND($B$30="M",F30="WA"),"M",IF(AND($B$30="M",F30="EXC"),"M",IF(AND($B$30="F",F30="WA"),"F",IF(AND($B$30="F",F30="EXC"),"F","-"))))</f>
        <v>-</v>
      </c>
      <c r="H30" s="60" t="str">
        <f t="shared" si="2"/>
        <v/>
      </c>
      <c r="I30" s="69"/>
      <c r="J30" s="59" t="str">
        <f t="shared" ref="J30:J31" si="71">IF(AND($B$30="M",I30="WA"),"M",IF(AND($B$30="M",I30="EXC"),"M",IF(AND($B$30="F",I30="WA"),"F",IF(AND($B$30="F",I30="EXC"),"F","-"))))</f>
        <v>-</v>
      </c>
      <c r="K30" s="60" t="str">
        <f t="shared" si="3"/>
        <v/>
      </c>
      <c r="L30" s="69"/>
      <c r="M30" s="59" t="str">
        <f t="shared" ref="M30:M31" si="72">IF(AND($B$30="M",L30="WA"),"M",IF(AND($B$30="M",L30="EXC"),"M",IF(AND($B$30="F",L30="WA"),"F",IF(AND($B$30="F",L30="EXC"),"F","-"))))</f>
        <v>-</v>
      </c>
      <c r="N30" s="60" t="str">
        <f t="shared" si="4"/>
        <v/>
      </c>
      <c r="O30" s="69"/>
      <c r="P30" s="59" t="str">
        <f t="shared" ref="P30:P31" si="73">IF(AND($B$30="M",O30="WA"),"M",IF(AND($B$30="M",O30="EXC"),"M",IF(AND($B$30="F",O30="WA"),"F",IF(AND($B$30="F",O30="EXC"),"F","-"))))</f>
        <v>-</v>
      </c>
      <c r="Q30" s="60" t="str">
        <f t="shared" si="5"/>
        <v/>
      </c>
      <c r="R30" s="69"/>
      <c r="S30" s="59" t="str">
        <f t="shared" ref="S30:S31" si="74">IF(AND($B$30="M",R30="WA"),"M",IF(AND($B$30="M",R30="EXC"),"M",IF(AND($B$30="F",R30="WA"),"F",IF(AND($B$30="F",R30="EXC"),"F","-"))))</f>
        <v>-</v>
      </c>
      <c r="T30" s="60" t="str">
        <f t="shared" si="6"/>
        <v/>
      </c>
      <c r="U30" s="61" t="str">
        <f t="shared" si="7"/>
        <v/>
      </c>
      <c r="V30" s="62"/>
      <c r="W30" s="47" t="str">
        <f t="shared" ref="W30:W31" si="75">IF(AND($B$30="M",V30="WA"),"M",IF(AND($B$30="M",V30="EXC"),"M",IF(AND($B$30="F",V30="WA"),"F",IF(AND($B$30="F",V30="EXC"),"F","-"))))</f>
        <v>-</v>
      </c>
      <c r="X30" s="48"/>
      <c r="Y30" s="49"/>
      <c r="Z30" s="48"/>
      <c r="AA30" s="70"/>
      <c r="AB30" s="59" t="str">
        <f t="shared" ref="AB30:AB31" si="76">IF(AND($B$30="M",AA30="WA"),"M",IF(AND($B$30="M",AA30="EXC"),"M",IF(AND($B$30="F",AA30="WA"),"F",IF(AND($B$30="F",AA30="EXC"),"F","-"))))</f>
        <v>-</v>
      </c>
      <c r="AC30" s="64" t="str">
        <f t="shared" si="8"/>
        <v/>
      </c>
      <c r="AD30" s="69"/>
      <c r="AE30" s="59" t="str">
        <f t="shared" ref="AE30:AE31" si="77">IF(AND($B$30="M",AD30="WA"),"M",IF(AND($B$30="M",AD30="EXC"),"M",IF(AND($B$30="F",AD30="WA"),"F",IF(AND($B$30="F",AD30="EXC"),"F","-"))))</f>
        <v>-</v>
      </c>
      <c r="AF30" s="64" t="str">
        <f t="shared" si="9"/>
        <v/>
      </c>
      <c r="AG30" s="69"/>
      <c r="AH30" s="59" t="str">
        <f t="shared" ref="AH30:AH31" si="78">IF(AND($B$30="M",AG30="WA"),"M",IF(AND($B$30="M",AG30="EXC"),"M",IF(AND($B$30="F",AG30="WA"),"F",IF(AND($B$30="F",AG30="EXC"),"F","-"))))</f>
        <v>-</v>
      </c>
      <c r="AI30" s="64" t="str">
        <f t="shared" si="10"/>
        <v/>
      </c>
      <c r="AJ30" s="69"/>
      <c r="AK30" s="59" t="str">
        <f t="shared" ref="AK30:AK31" si="79">IF(AND($B$30="M",AJ30="WA"),"M",IF(AND($B$30="M",AJ30="EXC"),"M",IF(AND($B$30="F",AJ30="WA"),"F",IF(AND($B$30="F",AJ30="EXC"),"F","-"))))</f>
        <v>-</v>
      </c>
      <c r="AL30" s="64" t="str">
        <f t="shared" si="11"/>
        <v/>
      </c>
      <c r="AM30" s="69"/>
      <c r="AN30" s="59" t="str">
        <f t="shared" ref="AN30:AN31" si="80">IF(AND($B$30="M",AM30="WA"),"M",IF(AND($B$30="M",AM30="EXC"),"M",IF(AND($B$30="F",AM30="WA"),"F",IF(AND($B$30="F",AM30="EXC"),"F","-"))))</f>
        <v>-</v>
      </c>
      <c r="AO30" s="61" t="str">
        <f t="shared" si="12"/>
        <v/>
      </c>
      <c r="AP30" s="69"/>
      <c r="AQ30" s="59" t="str">
        <f t="shared" ref="AQ30:AQ31" si="81">IF(AND($B$30="M",AP30="WA"),"M",IF(AND($B$30="M",AP30="EXC"),"M",IF(AND($B$30="F",AP30="WA"),"F",IF(AND($B$30="F",AP30="EXC"),"F","-"))))</f>
        <v>-</v>
      </c>
      <c r="AR30" s="61" t="str">
        <f t="shared" si="13"/>
        <v/>
      </c>
      <c r="AS30" s="61" t="str">
        <f t="shared" si="14"/>
        <v/>
      </c>
      <c r="AT30" s="65"/>
      <c r="AU30" s="47" t="str">
        <f t="shared" ref="AU30:AU31" si="82">IF(AND($B$30="M",AT30="WA"),"M",IF(AND($B$30="M",AT30="EXC"),"M",IF(AND($B$30="F",AT30="WA"),"F",IF(AND($B$30="F",AT30="EXC"),"F","-"))))</f>
        <v>-</v>
      </c>
      <c r="AV30" s="68"/>
      <c r="AW30" s="66"/>
      <c r="AX30" s="48"/>
      <c r="AY30" s="70"/>
      <c r="AZ30" s="59" t="str">
        <f t="shared" ref="AZ30:AZ31" si="83">IF(AND($B$30="M",AY30="WA"),"M",IF(AND($B$30="M",AY30="EXC"),"M",IF(AND($B$30="F",AY30="WA"),"F",IF(AND($B$30="F",AY30="EXC"),"F","-"))))</f>
        <v>-</v>
      </c>
      <c r="BA30" s="64" t="str">
        <f t="shared" si="15"/>
        <v/>
      </c>
      <c r="BB30" s="69"/>
      <c r="BC30" s="59" t="str">
        <f t="shared" ref="BC30:BC31" si="84">IF(AND($B$30="M",BB30="WA"),"M",IF(AND($B$30="M",BB30="EXC"),"M",IF(AND($B$30="F",BB30="WA"),"F",IF(AND($B$30="F",BB30="EXC"),"F","-"))))</f>
        <v>-</v>
      </c>
      <c r="BD30" s="64" t="str">
        <f t="shared" si="16"/>
        <v/>
      </c>
      <c r="BE30" s="69"/>
      <c r="BF30" s="59" t="str">
        <f t="shared" ref="BF30:BF31" si="85">IF(AND($B$30="M",BE30="WA"),"M",IF(AND($B$30="M",BE30="EXC"),"M",IF(AND($B$30="F",BE30="WA"),"F",IF(AND($B$30="F",BE30="EXC"),"F","-"))))</f>
        <v>-</v>
      </c>
      <c r="BG30" s="64" t="str">
        <f t="shared" si="17"/>
        <v/>
      </c>
      <c r="BH30" s="69"/>
      <c r="BI30" s="59" t="str">
        <f t="shared" ref="BI30:BI31" si="86">IF(AND($B$30="M",BH30="WA"),"M",IF(AND($B$30="M",BH30="EXC"),"M",IF(AND($B$30="F",BH30="WA"),"F",IF(AND($B$30="F",BH30="EXC"),"F","-"))))</f>
        <v>-</v>
      </c>
      <c r="BJ30" s="64" t="str">
        <f t="shared" si="18"/>
        <v/>
      </c>
      <c r="BK30" s="69"/>
      <c r="BL30" s="59" t="str">
        <f t="shared" ref="BL30:BL31" si="87">IF(AND($B$30="M",BK30="WA"),"M",IF(AND($B$30="M",BK30="EXC"),"M",IF(AND($B$30="F",BK30="WA"),"F",IF(AND($B$30="F",BK30="EXC"),"F","-"))))</f>
        <v>-</v>
      </c>
      <c r="BM30" s="61" t="str">
        <f t="shared" si="19"/>
        <v/>
      </c>
      <c r="BN30" s="69"/>
      <c r="BO30" s="59" t="str">
        <f t="shared" ref="BO30:BO31" si="88">IF(AND($B$30="M",BN30="WA"),"M",IF(AND($B$30="M",BN30="EXC"),"M",IF(AND($B$30="F",BN30="WA"),"F",IF(AND($B$30="F",BN30="EXC"),"F","-"))))</f>
        <v>-</v>
      </c>
      <c r="BP30" s="61" t="str">
        <f t="shared" si="20"/>
        <v/>
      </c>
      <c r="BQ30" s="61" t="str">
        <f t="shared" si="21"/>
        <v/>
      </c>
      <c r="BR30" s="65"/>
      <c r="BS30" s="47" t="str">
        <f t="shared" ref="BS30:BS31" si="89">IF(AND($B$30="M",BR30="WA"),"M",IF(AND($B$30="M",BR30="EXC"),"M",IF(AND($B$30="F",BR30="WA"),"F",IF(AND($B$30="F",BR30="EXC"),"F","-"))))</f>
        <v>-</v>
      </c>
      <c r="BT30" s="68"/>
      <c r="BU30" s="66"/>
      <c r="BV30" s="48"/>
      <c r="BW30" s="70"/>
      <c r="BX30" s="59" t="str">
        <f t="shared" ref="BX30:BX31" si="90">IF(AND($B$30="M",BW30="WA"),"M",IF(AND($B$30="M",BW30="EXC"),"M",IF(AND($B$30="F",BW30="WA"),"F",IF(AND($B$30="F",BW30="EXC"),"F","-"))))</f>
        <v>-</v>
      </c>
      <c r="BY30" s="64" t="str">
        <f t="shared" si="22"/>
        <v/>
      </c>
      <c r="BZ30" s="69"/>
      <c r="CA30" s="59" t="str">
        <f t="shared" ref="CA30:CA31" si="91">IF(AND($B$30="M",BZ30="WA"),"M",IF(AND($B$30="M",BZ30="EXC"),"M",IF(AND($B$30="F",BZ30="WA"),"F",IF(AND($B$30="F",BZ30="EXC"),"F","-"))))</f>
        <v>-</v>
      </c>
      <c r="CB30" s="64" t="str">
        <f t="shared" si="23"/>
        <v/>
      </c>
      <c r="CC30" s="69"/>
      <c r="CD30" s="59" t="str">
        <f t="shared" ref="CD30:CD31" si="92">IF(AND($B$30="M",CC30="WA"),"M",IF(AND($B$30="M",CC30="EXC"),"M",IF(AND($B$30="F",CC30="WA"),"F",IF(AND($B$30="F",CC30="EXC"),"F","-"))))</f>
        <v>-</v>
      </c>
      <c r="CE30" s="64" t="str">
        <f t="shared" si="24"/>
        <v/>
      </c>
      <c r="CF30" s="69"/>
      <c r="CG30" s="59" t="str">
        <f t="shared" ref="CG30:CG31" si="93">IF(AND($B$30="M",CF30="WA"),"M",IF(AND($B$30="M",CF30="EXC"),"M",IF(AND($B$30="F",CF30="WA"),"F",IF(AND($B$30="F",CF30="EXC"),"F","-"))))</f>
        <v>-</v>
      </c>
      <c r="CH30" s="64" t="str">
        <f t="shared" si="25"/>
        <v/>
      </c>
      <c r="CI30" s="69"/>
      <c r="CJ30" s="59" t="str">
        <f t="shared" ref="CJ30:CJ31" si="94">IF(AND($B$30="M",CI30="WA"),"M",IF(AND($B$30="M",CI30="EXC"),"M",IF(AND($B$30="F",CI30="WA"),"F",IF(AND($B$30="F",CI30="EXC"),"F","-"))))</f>
        <v>-</v>
      </c>
      <c r="CK30" s="61" t="str">
        <f t="shared" si="26"/>
        <v/>
      </c>
      <c r="CL30" s="69"/>
      <c r="CM30" s="59" t="str">
        <f t="shared" ref="CM30:CM31" si="95">IF(AND($B$30="M",CL30="WA"),"M",IF(AND($B$30="M",CL30="EXC"),"M",IF(AND($B$30="F",CL30="WA"),"F",IF(AND($B$30="F",CL30="EXC"),"F","-"))))</f>
        <v>-</v>
      </c>
      <c r="CN30" s="61" t="str">
        <f t="shared" si="27"/>
        <v/>
      </c>
      <c r="CO30" s="61" t="str">
        <f t="shared" si="28"/>
        <v/>
      </c>
      <c r="CP30" s="65"/>
      <c r="CQ30" s="47" t="str">
        <f t="shared" ref="CQ30:CQ31" si="96">IF(AND($B$30="M",CP30="WA"),"M",IF(AND($B$30="M",CP30="EXC"),"M",IF(AND($B$30="F",CP30="WA"),"F",IF(AND($B$30="F",CP30="EXC"),"F","-"))))</f>
        <v>-</v>
      </c>
      <c r="CR30" s="68"/>
      <c r="CS30" s="66"/>
      <c r="CT30" s="48"/>
      <c r="CU30" s="70"/>
      <c r="CV30" s="59" t="str">
        <f t="shared" ref="CV30:CV31" si="97">IF(AND($B$30="M",CU30="WA"),"M",IF(AND($B$30="M",CU30="EXC"),"M",IF(AND($B$30="F",CU30="WA"),"F",IF(AND($B$30="F",CU30="EXC"),"F","-"))))</f>
        <v>-</v>
      </c>
      <c r="CW30" s="64" t="str">
        <f t="shared" si="29"/>
        <v/>
      </c>
      <c r="CX30" s="69"/>
      <c r="CY30" s="59" t="str">
        <f t="shared" ref="CY30:CY31" si="98">IF(AND($B$30="M",CX30="WA"),"M",IF(AND($B$30="M",CX30="EXC"),"M",IF(AND($B$30="F",CX30="WA"),"F",IF(AND($B$30="F",CX30="EXC"),"F","-"))))</f>
        <v>-</v>
      </c>
      <c r="CZ30" s="64" t="str">
        <f t="shared" si="30"/>
        <v/>
      </c>
      <c r="DA30" s="69"/>
      <c r="DB30" s="59" t="str">
        <f t="shared" ref="DB30:DB31" si="99">IF(AND($B$30="M",DA30="WA"),"M",IF(AND($B$30="M",DA30="EXC"),"M",IF(AND($B$30="F",DA30="WA"),"F",IF(AND($B$30="F",DA30="EXC"),"F","-"))))</f>
        <v>-</v>
      </c>
      <c r="DC30" s="64" t="str">
        <f t="shared" si="31"/>
        <v/>
      </c>
      <c r="DD30" s="69"/>
      <c r="DE30" s="59" t="str">
        <f t="shared" ref="DE30:DE31" si="100">IF(AND($B$30="M",DD30="WA"),"M",IF(AND($B$30="M",DD30="EXC"),"M",IF(AND($B$30="F",DD30="WA"),"F",IF(AND($B$30="F",DD30="EXC"),"F","-"))))</f>
        <v>-</v>
      </c>
      <c r="DF30" s="64" t="str">
        <f t="shared" si="32"/>
        <v/>
      </c>
      <c r="DG30" s="69"/>
      <c r="DH30" s="59" t="str">
        <f t="shared" ref="DH30:DH31" si="101">IF(AND($B$30="M",DG30="WA"),"M",IF(AND($B$30="M",DG30="EXC"),"M",IF(AND($B$30="F",DG30="WA"),"F",IF(AND($B$30="F",DG30="EXC"),"F","-"))))</f>
        <v>-</v>
      </c>
      <c r="DI30" s="61" t="str">
        <f t="shared" si="33"/>
        <v/>
      </c>
      <c r="DJ30" s="69"/>
      <c r="DK30" s="59" t="str">
        <f t="shared" ref="DK30:DK31" si="102">IF(AND($B$30="M",DJ30="WA"),"M",IF(AND($B$30="M",DJ30="EXC"),"M",IF(AND($B$30="F",DJ30="WA"),"F",IF(AND($B$30="F",DJ30="EXC"),"F","-"))))</f>
        <v>-</v>
      </c>
      <c r="DL30" s="61" t="str">
        <f t="shared" si="34"/>
        <v/>
      </c>
      <c r="DM30" s="61" t="str">
        <f t="shared" si="35"/>
        <v/>
      </c>
      <c r="DN30" s="65"/>
      <c r="DO30" s="47" t="str">
        <f t="shared" ref="DO30:DO31" si="103">IF(AND($B$30="M",DN30="WA"),"M",IF(AND($B$30="M",DN30="EXC"),"M",IF(AND($B$30="F",DN30="WA"),"F",IF(AND($B$30="F",DN30="EXC"),"F","-"))))</f>
        <v>-</v>
      </c>
      <c r="DP30" s="68"/>
      <c r="DQ30" s="66"/>
      <c r="DR30" s="48"/>
      <c r="DS30" s="70"/>
      <c r="DT30" s="59" t="str">
        <f t="shared" ref="DT30:DT31" si="104">IF(AND($B$30="M",DS30="WA"),"M",IF(AND($B$30="M",DS30="EXC"),"M",IF(AND($B$30="F",DS30="WA"),"F",IF(AND($B$30="F",DS30="EXC"),"F","-"))))</f>
        <v>-</v>
      </c>
      <c r="DU30" s="64" t="str">
        <f t="shared" si="36"/>
        <v/>
      </c>
      <c r="DV30" s="69"/>
      <c r="DW30" s="59" t="str">
        <f t="shared" ref="DW30:DW31" si="105">IF(AND($B$30="M",DV30="WA"),"M",IF(AND($B$30="M",DV30="EXC"),"M",IF(AND($B$30="F",DV30="WA"),"F",IF(AND($B$30="F",DV30="EXC"),"F","-"))))</f>
        <v>-</v>
      </c>
      <c r="DX30" s="64" t="str">
        <f t="shared" si="37"/>
        <v/>
      </c>
      <c r="DY30" s="69"/>
      <c r="DZ30" s="59" t="str">
        <f t="shared" ref="DZ30:DZ31" si="106">IF(AND($B$30="M",DY30="WA"),"M",IF(AND($B$30="M",DY30="EXC"),"M",IF(AND($B$30="F",DY30="WA"),"F",IF(AND($B$30="F",DY30="EXC"),"F","-"))))</f>
        <v>-</v>
      </c>
      <c r="EA30" s="64" t="str">
        <f t="shared" si="38"/>
        <v/>
      </c>
      <c r="EB30" s="69"/>
      <c r="EC30" s="59" t="str">
        <f t="shared" ref="EC30:EC31" si="107">IF(AND($B$30="M",EB30="WA"),"M",IF(AND($B$30="M",EB30="EXC"),"M",IF(AND($B$30="F",EB30="WA"),"F",IF(AND($B$30="F",EB30="EXC"),"F","-"))))</f>
        <v>-</v>
      </c>
      <c r="ED30" s="64" t="str">
        <f t="shared" si="39"/>
        <v/>
      </c>
      <c r="EE30" s="69"/>
      <c r="EF30" s="59" t="str">
        <f t="shared" ref="EF30:EF31" si="108">IF(AND($B$30="M",EE30="WA"),"M",IF(AND($B$30="M",EE30="EXC"),"M",IF(AND($B$30="F",EE30="WA"),"F",IF(AND($B$30="F",EE30="EXC"),"F","-"))))</f>
        <v>-</v>
      </c>
      <c r="EG30" s="61" t="str">
        <f t="shared" si="40"/>
        <v/>
      </c>
      <c r="EH30" s="69"/>
      <c r="EI30" s="59" t="str">
        <f t="shared" ref="EI30:EI31" si="109">IF(AND($B$30="M",EH30="WA"),"M",IF(AND($B$30="M",EH30="EXC"),"M",IF(AND($B$30="F",EH30="WA"),"F",IF(AND($B$30="F",EH30="EXC"),"F","-"))))</f>
        <v>-</v>
      </c>
      <c r="EJ30" s="61" t="str">
        <f t="shared" si="41"/>
        <v/>
      </c>
      <c r="EK30" s="61" t="str">
        <f t="shared" si="42"/>
        <v/>
      </c>
      <c r="EL30" s="65"/>
      <c r="EM30" s="47" t="str">
        <f t="shared" ref="EM30:EM31" si="110">IF(AND($B$30="M",EL30="WA"),"M",IF(AND($B$30="M",EL30="EXC"),"M",IF(AND($B$30="F",EL30="WA"),"F",IF(AND($B$30="F",EL30="EXC"),"F","-"))))</f>
        <v>-</v>
      </c>
      <c r="EN30" s="68"/>
      <c r="EO30" s="66"/>
      <c r="EP30" s="48"/>
      <c r="EQ30" s="70"/>
      <c r="ER30" s="59" t="str">
        <f t="shared" ref="ER30:ER31" si="111">IF(AND($B$30="M",EQ30="WA"),"M",IF(AND($B$30="M",EQ30="EXC"),"M",IF(AND($B$30="F",EQ30="WA"),"F",IF(AND($B$30="F",EQ30="EXC"),"F","-"))))</f>
        <v>-</v>
      </c>
      <c r="ES30" s="64" t="str">
        <f t="shared" si="43"/>
        <v/>
      </c>
      <c r="ET30" s="69"/>
      <c r="EU30" s="59" t="str">
        <f t="shared" ref="EU30:EU31" si="112">IF(AND($B$30="M",ET30="WA"),"M",IF(AND($B$30="M",ET30="EXC"),"M",IF(AND($B$30="F",ET30="WA"),"F",IF(AND($B$30="F",ET30="EXC"),"F","-"))))</f>
        <v>-</v>
      </c>
      <c r="EV30" s="64" t="str">
        <f t="shared" si="44"/>
        <v/>
      </c>
      <c r="EW30" s="69"/>
      <c r="EX30" s="59" t="str">
        <f t="shared" ref="EX30:EX31" si="113">IF(AND($B$30="M",EW30="WA"),"M",IF(AND($B$30="M",EW30="EXC"),"M",IF(AND($B$30="F",EW30="WA"),"F",IF(AND($B$30="F",EW30="EXC"),"F","-"))))</f>
        <v>-</v>
      </c>
      <c r="EY30" s="64" t="str">
        <f t="shared" si="45"/>
        <v/>
      </c>
      <c r="EZ30" s="69"/>
      <c r="FA30" s="59" t="str">
        <f t="shared" ref="FA30:FA31" si="114">IF(AND($B$30="M",EZ30="WA"),"M",IF(AND($B$30="M",EZ30="EXC"),"M",IF(AND($B$30="F",EZ30="WA"),"F",IF(AND($B$30="F",EZ30="EXC"),"F","-"))))</f>
        <v>-</v>
      </c>
      <c r="FB30" s="64" t="str">
        <f t="shared" si="46"/>
        <v/>
      </c>
      <c r="FC30" s="69"/>
      <c r="FD30" s="59" t="str">
        <f t="shared" ref="FD30:FD31" si="115">IF(AND($B$30="M",FC30="WA"),"M",IF(AND($B$30="M",FC30="EXC"),"M",IF(AND($B$30="F",FC30="WA"),"F",IF(AND($B$30="F",FC30="EXC"),"F","-"))))</f>
        <v>-</v>
      </c>
      <c r="FE30" s="61" t="str">
        <f t="shared" si="47"/>
        <v/>
      </c>
      <c r="FF30" s="69"/>
      <c r="FG30" s="59" t="str">
        <f t="shared" ref="FG30:FG31" si="116">IF(AND($B$30="M",FF30="WA"),"M",IF(AND($B$30="M",FF30="EXC"),"M",IF(AND($B$30="F",FF30="WA"),"F",IF(AND($B$30="F",FF30="EXC"),"F","-"))))</f>
        <v>-</v>
      </c>
      <c r="FH30" s="61" t="str">
        <f t="shared" si="48"/>
        <v/>
      </c>
      <c r="FI30" s="61" t="str">
        <f t="shared" si="49"/>
        <v/>
      </c>
      <c r="FJ30" s="65"/>
      <c r="FK30" s="47" t="str">
        <f t="shared" ref="FK30:FK31" si="117">IF(AND($B$30="M",FJ30="WA"),"M",IF(AND($B$30="M",FJ30="EXC"),"M",IF(AND($B$30="F",FJ30="WA"),"F",IF(AND($B$30="F",FJ30="EXC"),"F","-"))))</f>
        <v>-</v>
      </c>
      <c r="FL30" s="68"/>
      <c r="FM30" s="66"/>
      <c r="FN30" s="48"/>
      <c r="FO30" s="70"/>
      <c r="FP30" s="59" t="str">
        <f t="shared" ref="FP30:FP31" si="118">IF(AND($B$30="M",FO30="WA"),"M",IF(AND($B$30="M",FO30="EXC"),"M",IF(AND($B$30="F",FO30="WA"),"F",IF(AND($B$30="F",FO30="EXC"),"F","-"))))</f>
        <v>-</v>
      </c>
      <c r="FQ30" s="64" t="str">
        <f t="shared" si="50"/>
        <v/>
      </c>
      <c r="FR30" s="69"/>
      <c r="FS30" s="59" t="str">
        <f t="shared" ref="FS30:FS31" si="119">IF(AND($B$30="M",FR30="WA"),"M",IF(AND($B$30="M",FR30="EXC"),"M",IF(AND($B$30="F",FR30="WA"),"F",IF(AND($B$30="F",FR30="EXC"),"F","-"))))</f>
        <v>-</v>
      </c>
      <c r="FT30" s="64" t="str">
        <f t="shared" si="51"/>
        <v/>
      </c>
      <c r="FU30" s="69"/>
      <c r="FV30" s="59" t="str">
        <f t="shared" ref="FV30:FV31" si="120">IF(AND($B$30="M",FU30="WA"),"M",IF(AND($B$30="M",FU30="EXC"),"M",IF(AND($B$30="F",FU30="WA"),"F",IF(AND($B$30="F",FU30="EXC"),"F","-"))))</f>
        <v>-</v>
      </c>
      <c r="FW30" s="64" t="str">
        <f t="shared" si="52"/>
        <v/>
      </c>
      <c r="FX30" s="69"/>
      <c r="FY30" s="59" t="str">
        <f t="shared" ref="FY30:FY31" si="121">IF(AND($B$30="M",FX30="WA"),"M",IF(AND($B$30="M",FX30="EXC"),"M",IF(AND($B$30="F",FX30="WA"),"F",IF(AND($B$30="F",FX30="EXC"),"F","-"))))</f>
        <v>-</v>
      </c>
      <c r="FZ30" s="64" t="str">
        <f t="shared" si="53"/>
        <v/>
      </c>
      <c r="GA30" s="69"/>
      <c r="GB30" s="59" t="str">
        <f t="shared" ref="GB30:GB31" si="122">IF(AND($B$30="M",GA30="WA"),"M",IF(AND($B$30="M",GA30="EXC"),"M",IF(AND($B$30="F",GA30="WA"),"F",IF(AND($B$30="F",GA30="EXC"),"F","-"))))</f>
        <v>-</v>
      </c>
      <c r="GC30" s="61" t="str">
        <f t="shared" si="54"/>
        <v/>
      </c>
      <c r="GD30" s="69"/>
      <c r="GE30" s="59" t="str">
        <f t="shared" ref="GE30:GE31" si="123">IF(AND($B$30="M",GD30="WA"),"M",IF(AND($B$30="M",GD30="EXC"),"M",IF(AND($B$30="F",GD30="WA"),"F",IF(AND($B$30="F",GD30="EXC"),"F","-"))))</f>
        <v>-</v>
      </c>
      <c r="GF30" s="61" t="str">
        <f t="shared" si="55"/>
        <v/>
      </c>
      <c r="GG30" s="61" t="str">
        <f t="shared" si="56"/>
        <v/>
      </c>
      <c r="GH30" s="65"/>
      <c r="GI30" s="47" t="str">
        <f t="shared" ref="GI30:GI31" si="124">IF(AND($B$30="M",GH30="WA"),"M",IF(AND($B$30="M",GH30="EXC"),"M",IF(AND($B$30="F",GH30="WA"),"F",IF(AND($B$30="F",GH30="EXC"),"F","-"))))</f>
        <v>-</v>
      </c>
      <c r="GJ30" s="68"/>
      <c r="GK30" s="66"/>
      <c r="GL30" s="48"/>
      <c r="GM30" s="70"/>
      <c r="GN30" s="59" t="str">
        <f t="shared" ref="GN30:GN31" si="125">IF(AND($B$30="M",GM30="WA"),"M",IF(AND($B$30="M",GM30="EXC"),"M",IF(AND($B$30="F",GM30="WA"),"F",IF(AND($B$30="F",GM30="EXC"),"F","-"))))</f>
        <v>-</v>
      </c>
      <c r="GO30" s="64" t="str">
        <f t="shared" si="57"/>
        <v/>
      </c>
      <c r="GP30" s="69"/>
      <c r="GQ30" s="59" t="str">
        <f t="shared" ref="GQ30:GQ31" si="126">IF(AND($B$30="M",GP30="WA"),"M",IF(AND($B$30="M",GP30="EXC"),"M",IF(AND($B$30="F",GP30="WA"),"F",IF(AND($B$30="F",GP30="EXC"),"F","-"))))</f>
        <v>-</v>
      </c>
      <c r="GR30" s="64" t="str">
        <f t="shared" si="58"/>
        <v/>
      </c>
      <c r="GS30" s="69"/>
      <c r="GT30" s="59" t="str">
        <f t="shared" ref="GT30:GT31" si="127">IF(AND($B$30="M",GS30="WA"),"M",IF(AND($B$30="M",GS30="EXC"),"M",IF(AND($B$30="F",GS30="WA"),"F",IF(AND($B$30="F",GS30="EXC"),"F","-"))))</f>
        <v>-</v>
      </c>
      <c r="GU30" s="64" t="str">
        <f t="shared" si="59"/>
        <v/>
      </c>
      <c r="GV30" s="61" t="str">
        <f t="shared" si="60"/>
        <v/>
      </c>
      <c r="GW30" s="65"/>
      <c r="GX30" s="47" t="str">
        <f t="shared" ref="GX30:GX31" si="128">IF(AND($B$30="M",GW30="WA"),"M",IF(AND($B$30="M",GW30="EXC"),"M",IF(AND($B$30="F",GW30="WA"),"F",IF(AND($B$30="F",GW30="EXC"),"F","-"))))</f>
        <v>-</v>
      </c>
      <c r="GY30" s="68"/>
      <c r="GZ30" s="66"/>
      <c r="HA30" s="48"/>
      <c r="HB30" s="70"/>
      <c r="HC30" s="59" t="str">
        <f t="shared" ref="HC30:HC31" si="129">IF(AND($B$30="M",HB30="WA"),"M",IF(AND($B$30="M",HB30="EXC"),"M",IF(AND($B$30="F",HB30="WA"),"F",IF(AND($B$30="F",HB30="EXC"),"F","-"))))</f>
        <v>-</v>
      </c>
      <c r="HD30" s="64" t="str">
        <f t="shared" si="61"/>
        <v/>
      </c>
      <c r="HE30" s="69"/>
      <c r="HF30" s="59" t="str">
        <f t="shared" ref="HF30:HF31" si="130">IF(AND($B$30="M",HE30="WA"),"M",IF(AND($B$30="M",HE30="EXC"),"M",IF(AND($B$30="F",HE30="WA"),"F",IF(AND($B$30="F",HE30="EXC"),"F","-"))))</f>
        <v>-</v>
      </c>
      <c r="HG30" s="64" t="str">
        <f t="shared" si="62"/>
        <v/>
      </c>
      <c r="HH30" s="69"/>
      <c r="HI30" s="59" t="str">
        <f t="shared" ref="HI30:HI31" si="131">IF(AND($B$30="M",HH30="WA"),"M",IF(AND($B$30="M",HH30="EXC"),"M",IF(AND($B$30="F",HH30="WA"),"F",IF(AND($B$30="F",HH30="EXC"),"F","-"))))</f>
        <v>-</v>
      </c>
      <c r="HJ30" s="64" t="str">
        <f t="shared" si="63"/>
        <v/>
      </c>
      <c r="HK30" s="61" t="str">
        <f t="shared" si="64"/>
        <v/>
      </c>
      <c r="HL30" s="65"/>
      <c r="HM30" s="47" t="str">
        <f t="shared" ref="HM30:HM31" si="132">IF(AND($B$30="M",HL30="WA"),"M",IF(AND($B$30="M",HL30="EXC"),"M",IF(AND($B$30="F",HL30="WA"),"F",IF(AND($B$30="F",HL30="EXC"),"F","-"))))</f>
        <v>-</v>
      </c>
      <c r="HN30" s="13"/>
      <c r="HO30" s="14"/>
      <c r="HP30" s="15"/>
      <c r="HQ30" s="54"/>
      <c r="HR30" s="55" t="str">
        <f t="shared" ref="HR30:HR31" si="133">IF(AND($B$30="M",HQ30="WA"),"M",IF(AND($B$30="M",HQ30="EXC"),"M",IF(AND($B$30="F",HQ30="WA"),"F",IF(AND($B$30="F",HQ30="EXC"),"F","-"))))</f>
        <v>-</v>
      </c>
      <c r="HS30" s="56" t="str">
        <f t="shared" si="65"/>
        <v/>
      </c>
      <c r="HT30" s="54"/>
      <c r="HU30" s="55" t="str">
        <f t="shared" ref="HU30:HU31" si="134">IF(AND($B$30="M",HT30="WA"),"M",IF(AND($B$30="M",HT30="EXC"),"M",IF(AND($B$30="F",HT30="WA"),"F",IF(AND($B$30="F",HT30="EXC"),"F","-"))))</f>
        <v>-</v>
      </c>
      <c r="HV30" s="56" t="str">
        <f t="shared" si="66"/>
        <v/>
      </c>
      <c r="HW30" s="54"/>
      <c r="HX30" s="55" t="str">
        <f t="shared" ref="HX30:HX31" si="135">IF(AND($B$30="M",HW30="WA"),"M",IF(AND($B$30="M",HW30="EXC"),"M",IF(AND($B$30="F",HW30="WA"),"F",IF(AND($B$30="F",HW30="EXC"),"F","-"))))</f>
        <v>-</v>
      </c>
      <c r="HY30" s="56" t="str">
        <f t="shared" si="67"/>
        <v/>
      </c>
      <c r="HZ30" s="54" t="str">
        <f t="shared" si="68"/>
        <v/>
      </c>
      <c r="IA30" s="67"/>
      <c r="IB30" s="55" t="str">
        <f t="shared" ref="IB30:IB31" si="136">IF(AND($B$30="M",IA30="WA"),"M",IF(AND($B$30="M",IA30="EXC"),"M",IF(AND($B$30="F",IA30="WA"),"F",IF(AND($B$30="F",IA30="EXC"),"F","-"))))</f>
        <v>-</v>
      </c>
      <c r="IC30" s="17"/>
    </row>
    <row r="31">
      <c r="A31" s="40"/>
      <c r="B31" s="72"/>
      <c r="C31" s="73"/>
      <c r="D31" s="74" t="str">
        <f t="shared" si="69"/>
        <v>-</v>
      </c>
      <c r="E31" s="75" t="str">
        <f t="shared" si="1"/>
        <v/>
      </c>
      <c r="F31" s="73"/>
      <c r="G31" s="74" t="str">
        <f t="shared" si="70"/>
        <v>-</v>
      </c>
      <c r="H31" s="75" t="str">
        <f t="shared" si="2"/>
        <v/>
      </c>
      <c r="I31" s="73"/>
      <c r="J31" s="74" t="str">
        <f t="shared" si="71"/>
        <v>-</v>
      </c>
      <c r="K31" s="75" t="str">
        <f t="shared" si="3"/>
        <v/>
      </c>
      <c r="L31" s="73"/>
      <c r="M31" s="74" t="str">
        <f t="shared" si="72"/>
        <v>-</v>
      </c>
      <c r="N31" s="75" t="str">
        <f t="shared" si="4"/>
        <v/>
      </c>
      <c r="O31" s="73"/>
      <c r="P31" s="74" t="str">
        <f t="shared" si="73"/>
        <v>-</v>
      </c>
      <c r="Q31" s="75" t="str">
        <f t="shared" si="5"/>
        <v/>
      </c>
      <c r="R31" s="73"/>
      <c r="S31" s="74" t="str">
        <f t="shared" si="74"/>
        <v>-</v>
      </c>
      <c r="T31" s="75" t="str">
        <f t="shared" si="6"/>
        <v/>
      </c>
      <c r="U31" s="61" t="str">
        <f t="shared" si="7"/>
        <v/>
      </c>
      <c r="V31" s="76"/>
      <c r="W31" s="77" t="str">
        <f t="shared" si="75"/>
        <v>-</v>
      </c>
      <c r="X31" s="48"/>
      <c r="Y31" s="49"/>
      <c r="Z31" s="48"/>
      <c r="AA31" s="78"/>
      <c r="AB31" s="74" t="str">
        <f t="shared" si="76"/>
        <v>-</v>
      </c>
      <c r="AC31" s="75" t="str">
        <f t="shared" si="8"/>
        <v/>
      </c>
      <c r="AD31" s="73"/>
      <c r="AE31" s="74" t="str">
        <f t="shared" si="77"/>
        <v>-</v>
      </c>
      <c r="AF31" s="75" t="str">
        <f t="shared" si="9"/>
        <v/>
      </c>
      <c r="AG31" s="73"/>
      <c r="AH31" s="74" t="str">
        <f t="shared" si="78"/>
        <v>-</v>
      </c>
      <c r="AI31" s="75" t="str">
        <f t="shared" si="10"/>
        <v/>
      </c>
      <c r="AJ31" s="73"/>
      <c r="AK31" s="74" t="str">
        <f t="shared" si="79"/>
        <v>-</v>
      </c>
      <c r="AL31" s="75" t="str">
        <f t="shared" si="11"/>
        <v/>
      </c>
      <c r="AM31" s="73"/>
      <c r="AN31" s="74" t="str">
        <f t="shared" si="80"/>
        <v>-</v>
      </c>
      <c r="AO31" s="79" t="str">
        <f t="shared" si="12"/>
        <v/>
      </c>
      <c r="AP31" s="73"/>
      <c r="AQ31" s="74" t="str">
        <f t="shared" si="81"/>
        <v>-</v>
      </c>
      <c r="AR31" s="79" t="str">
        <f t="shared" si="13"/>
        <v/>
      </c>
      <c r="AS31" s="79" t="str">
        <f t="shared" si="14"/>
        <v/>
      </c>
      <c r="AT31" s="80"/>
      <c r="AU31" s="77" t="str">
        <f t="shared" si="82"/>
        <v>-</v>
      </c>
      <c r="AV31" s="68"/>
      <c r="AW31" s="66"/>
      <c r="AX31" s="48"/>
      <c r="AY31" s="78"/>
      <c r="AZ31" s="74" t="str">
        <f t="shared" si="83"/>
        <v>-</v>
      </c>
      <c r="BA31" s="75" t="str">
        <f t="shared" si="15"/>
        <v/>
      </c>
      <c r="BB31" s="73"/>
      <c r="BC31" s="74" t="str">
        <f t="shared" si="84"/>
        <v>-</v>
      </c>
      <c r="BD31" s="75" t="str">
        <f t="shared" si="16"/>
        <v/>
      </c>
      <c r="BE31" s="73"/>
      <c r="BF31" s="74" t="str">
        <f t="shared" si="85"/>
        <v>-</v>
      </c>
      <c r="BG31" s="75" t="str">
        <f t="shared" si="17"/>
        <v/>
      </c>
      <c r="BH31" s="73"/>
      <c r="BI31" s="74" t="str">
        <f t="shared" si="86"/>
        <v>-</v>
      </c>
      <c r="BJ31" s="75" t="str">
        <f t="shared" si="18"/>
        <v/>
      </c>
      <c r="BK31" s="73"/>
      <c r="BL31" s="74" t="str">
        <f t="shared" si="87"/>
        <v>-</v>
      </c>
      <c r="BM31" s="79" t="str">
        <f t="shared" si="19"/>
        <v/>
      </c>
      <c r="BN31" s="73"/>
      <c r="BO31" s="74" t="str">
        <f t="shared" si="88"/>
        <v>-</v>
      </c>
      <c r="BP31" s="79" t="str">
        <f t="shared" si="20"/>
        <v/>
      </c>
      <c r="BQ31" s="79" t="str">
        <f t="shared" si="21"/>
        <v/>
      </c>
      <c r="BR31" s="80"/>
      <c r="BS31" s="77" t="str">
        <f t="shared" si="89"/>
        <v>-</v>
      </c>
      <c r="BT31" s="68"/>
      <c r="BU31" s="66"/>
      <c r="BV31" s="48"/>
      <c r="BW31" s="78"/>
      <c r="BX31" s="74" t="str">
        <f t="shared" si="90"/>
        <v>-</v>
      </c>
      <c r="BY31" s="75" t="str">
        <f t="shared" si="22"/>
        <v/>
      </c>
      <c r="BZ31" s="73"/>
      <c r="CA31" s="74" t="str">
        <f t="shared" si="91"/>
        <v>-</v>
      </c>
      <c r="CB31" s="75" t="str">
        <f t="shared" si="23"/>
        <v/>
      </c>
      <c r="CC31" s="73"/>
      <c r="CD31" s="74" t="str">
        <f t="shared" si="92"/>
        <v>-</v>
      </c>
      <c r="CE31" s="75" t="str">
        <f t="shared" si="24"/>
        <v/>
      </c>
      <c r="CF31" s="73"/>
      <c r="CG31" s="74" t="str">
        <f t="shared" si="93"/>
        <v>-</v>
      </c>
      <c r="CH31" s="75" t="str">
        <f t="shared" si="25"/>
        <v/>
      </c>
      <c r="CI31" s="73"/>
      <c r="CJ31" s="74" t="str">
        <f t="shared" si="94"/>
        <v>-</v>
      </c>
      <c r="CK31" s="79" t="str">
        <f t="shared" si="26"/>
        <v/>
      </c>
      <c r="CL31" s="73"/>
      <c r="CM31" s="74" t="str">
        <f t="shared" si="95"/>
        <v>-</v>
      </c>
      <c r="CN31" s="79" t="str">
        <f t="shared" si="27"/>
        <v/>
      </c>
      <c r="CO31" s="79" t="str">
        <f t="shared" si="28"/>
        <v/>
      </c>
      <c r="CP31" s="80"/>
      <c r="CQ31" s="77" t="str">
        <f t="shared" si="96"/>
        <v>-</v>
      </c>
      <c r="CR31" s="68"/>
      <c r="CS31" s="66"/>
      <c r="CT31" s="48"/>
      <c r="CU31" s="78"/>
      <c r="CV31" s="74" t="str">
        <f t="shared" si="97"/>
        <v>-</v>
      </c>
      <c r="CW31" s="75" t="str">
        <f t="shared" si="29"/>
        <v/>
      </c>
      <c r="CX31" s="73"/>
      <c r="CY31" s="74" t="str">
        <f t="shared" si="98"/>
        <v>-</v>
      </c>
      <c r="CZ31" s="75" t="str">
        <f t="shared" si="30"/>
        <v/>
      </c>
      <c r="DA31" s="73"/>
      <c r="DB31" s="74" t="str">
        <f t="shared" si="99"/>
        <v>-</v>
      </c>
      <c r="DC31" s="75" t="str">
        <f t="shared" si="31"/>
        <v/>
      </c>
      <c r="DD31" s="73"/>
      <c r="DE31" s="74" t="str">
        <f t="shared" si="100"/>
        <v>-</v>
      </c>
      <c r="DF31" s="75" t="str">
        <f t="shared" si="32"/>
        <v/>
      </c>
      <c r="DG31" s="73"/>
      <c r="DH31" s="74" t="str">
        <f t="shared" si="101"/>
        <v>-</v>
      </c>
      <c r="DI31" s="79" t="str">
        <f t="shared" si="33"/>
        <v/>
      </c>
      <c r="DJ31" s="73"/>
      <c r="DK31" s="74" t="str">
        <f t="shared" si="102"/>
        <v>-</v>
      </c>
      <c r="DL31" s="79" t="str">
        <f t="shared" si="34"/>
        <v/>
      </c>
      <c r="DM31" s="79" t="str">
        <f t="shared" si="35"/>
        <v/>
      </c>
      <c r="DN31" s="80"/>
      <c r="DO31" s="77" t="str">
        <f t="shared" si="103"/>
        <v>-</v>
      </c>
      <c r="DP31" s="68"/>
      <c r="DQ31" s="66"/>
      <c r="DR31" s="48"/>
      <c r="DS31" s="78"/>
      <c r="DT31" s="74" t="str">
        <f t="shared" si="104"/>
        <v>-</v>
      </c>
      <c r="DU31" s="75" t="str">
        <f t="shared" si="36"/>
        <v/>
      </c>
      <c r="DV31" s="73"/>
      <c r="DW31" s="74" t="str">
        <f t="shared" si="105"/>
        <v>-</v>
      </c>
      <c r="DX31" s="75" t="str">
        <f t="shared" si="37"/>
        <v/>
      </c>
      <c r="DY31" s="73"/>
      <c r="DZ31" s="74" t="str">
        <f t="shared" si="106"/>
        <v>-</v>
      </c>
      <c r="EA31" s="75" t="str">
        <f t="shared" si="38"/>
        <v/>
      </c>
      <c r="EB31" s="73"/>
      <c r="EC31" s="74" t="str">
        <f t="shared" si="107"/>
        <v>-</v>
      </c>
      <c r="ED31" s="75" t="str">
        <f t="shared" si="39"/>
        <v/>
      </c>
      <c r="EE31" s="73"/>
      <c r="EF31" s="74" t="str">
        <f t="shared" si="108"/>
        <v>-</v>
      </c>
      <c r="EG31" s="79" t="str">
        <f t="shared" si="40"/>
        <v/>
      </c>
      <c r="EH31" s="73"/>
      <c r="EI31" s="74" t="str">
        <f t="shared" si="109"/>
        <v>-</v>
      </c>
      <c r="EJ31" s="79" t="str">
        <f t="shared" si="41"/>
        <v/>
      </c>
      <c r="EK31" s="79" t="str">
        <f t="shared" si="42"/>
        <v/>
      </c>
      <c r="EL31" s="80"/>
      <c r="EM31" s="77" t="str">
        <f t="shared" si="110"/>
        <v>-</v>
      </c>
      <c r="EN31" s="68"/>
      <c r="EO31" s="66"/>
      <c r="EP31" s="48"/>
      <c r="EQ31" s="78"/>
      <c r="ER31" s="74" t="str">
        <f t="shared" si="111"/>
        <v>-</v>
      </c>
      <c r="ES31" s="75" t="str">
        <f t="shared" si="43"/>
        <v/>
      </c>
      <c r="ET31" s="73"/>
      <c r="EU31" s="74" t="str">
        <f t="shared" si="112"/>
        <v>-</v>
      </c>
      <c r="EV31" s="75" t="str">
        <f t="shared" si="44"/>
        <v/>
      </c>
      <c r="EW31" s="73"/>
      <c r="EX31" s="74" t="str">
        <f t="shared" si="113"/>
        <v>-</v>
      </c>
      <c r="EY31" s="75" t="str">
        <f t="shared" si="45"/>
        <v/>
      </c>
      <c r="EZ31" s="73"/>
      <c r="FA31" s="74" t="str">
        <f t="shared" si="114"/>
        <v>-</v>
      </c>
      <c r="FB31" s="75" t="str">
        <f t="shared" si="46"/>
        <v/>
      </c>
      <c r="FC31" s="73"/>
      <c r="FD31" s="74" t="str">
        <f t="shared" si="115"/>
        <v>-</v>
      </c>
      <c r="FE31" s="79" t="str">
        <f t="shared" si="47"/>
        <v/>
      </c>
      <c r="FF31" s="73"/>
      <c r="FG31" s="74" t="str">
        <f t="shared" si="116"/>
        <v>-</v>
      </c>
      <c r="FH31" s="79" t="str">
        <f t="shared" si="48"/>
        <v/>
      </c>
      <c r="FI31" s="79" t="str">
        <f t="shared" si="49"/>
        <v/>
      </c>
      <c r="FJ31" s="80"/>
      <c r="FK31" s="77" t="str">
        <f t="shared" si="117"/>
        <v>-</v>
      </c>
      <c r="FL31" s="68"/>
      <c r="FM31" s="66"/>
      <c r="FN31" s="48"/>
      <c r="FO31" s="78"/>
      <c r="FP31" s="74" t="str">
        <f t="shared" si="118"/>
        <v>-</v>
      </c>
      <c r="FQ31" s="75" t="str">
        <f t="shared" si="50"/>
        <v/>
      </c>
      <c r="FR31" s="73"/>
      <c r="FS31" s="74" t="str">
        <f t="shared" si="119"/>
        <v>-</v>
      </c>
      <c r="FT31" s="75" t="str">
        <f t="shared" si="51"/>
        <v/>
      </c>
      <c r="FU31" s="73"/>
      <c r="FV31" s="74" t="str">
        <f t="shared" si="120"/>
        <v>-</v>
      </c>
      <c r="FW31" s="75" t="str">
        <f t="shared" si="52"/>
        <v/>
      </c>
      <c r="FX31" s="73"/>
      <c r="FY31" s="74" t="str">
        <f t="shared" si="121"/>
        <v>-</v>
      </c>
      <c r="FZ31" s="75" t="str">
        <f t="shared" si="53"/>
        <v/>
      </c>
      <c r="GA31" s="73"/>
      <c r="GB31" s="74" t="str">
        <f t="shared" si="122"/>
        <v>-</v>
      </c>
      <c r="GC31" s="79" t="str">
        <f t="shared" si="54"/>
        <v/>
      </c>
      <c r="GD31" s="73"/>
      <c r="GE31" s="74" t="str">
        <f t="shared" si="123"/>
        <v>-</v>
      </c>
      <c r="GF31" s="79" t="str">
        <f t="shared" si="55"/>
        <v/>
      </c>
      <c r="GG31" s="79" t="str">
        <f t="shared" si="56"/>
        <v/>
      </c>
      <c r="GH31" s="80"/>
      <c r="GI31" s="77" t="str">
        <f t="shared" si="124"/>
        <v>-</v>
      </c>
      <c r="GJ31" s="68"/>
      <c r="GK31" s="66"/>
      <c r="GL31" s="48"/>
      <c r="GM31" s="78"/>
      <c r="GN31" s="74" t="str">
        <f t="shared" si="125"/>
        <v>-</v>
      </c>
      <c r="GO31" s="75" t="str">
        <f t="shared" si="57"/>
        <v/>
      </c>
      <c r="GP31" s="73"/>
      <c r="GQ31" s="74" t="str">
        <f t="shared" si="126"/>
        <v>-</v>
      </c>
      <c r="GR31" s="75" t="str">
        <f t="shared" si="58"/>
        <v/>
      </c>
      <c r="GS31" s="73"/>
      <c r="GT31" s="74" t="str">
        <f t="shared" si="127"/>
        <v>-</v>
      </c>
      <c r="GU31" s="75" t="str">
        <f t="shared" si="59"/>
        <v/>
      </c>
      <c r="GV31" s="61" t="str">
        <f t="shared" si="60"/>
        <v/>
      </c>
      <c r="GW31" s="80"/>
      <c r="GX31" s="77" t="str">
        <f t="shared" si="128"/>
        <v>-</v>
      </c>
      <c r="GY31" s="68"/>
      <c r="GZ31" s="66"/>
      <c r="HA31" s="48"/>
      <c r="HB31" s="78"/>
      <c r="HC31" s="74" t="str">
        <f t="shared" si="129"/>
        <v>-</v>
      </c>
      <c r="HD31" s="75" t="str">
        <f t="shared" si="61"/>
        <v/>
      </c>
      <c r="HE31" s="73"/>
      <c r="HF31" s="74" t="str">
        <f t="shared" si="130"/>
        <v>-</v>
      </c>
      <c r="HG31" s="75" t="str">
        <f t="shared" si="62"/>
        <v/>
      </c>
      <c r="HH31" s="73"/>
      <c r="HI31" s="74" t="str">
        <f t="shared" si="131"/>
        <v>-</v>
      </c>
      <c r="HJ31" s="75" t="str">
        <f t="shared" si="63"/>
        <v/>
      </c>
      <c r="HK31" s="61" t="str">
        <f t="shared" si="64"/>
        <v/>
      </c>
      <c r="HL31" s="80"/>
      <c r="HM31" s="77" t="str">
        <f t="shared" si="132"/>
        <v>-</v>
      </c>
      <c r="HN31" s="81"/>
      <c r="HO31" s="82"/>
      <c r="HP31" s="83"/>
      <c r="HQ31" s="84"/>
      <c r="HR31" s="85" t="str">
        <f t="shared" si="133"/>
        <v>-</v>
      </c>
      <c r="HS31" s="86" t="str">
        <f t="shared" si="65"/>
        <v/>
      </c>
      <c r="HT31" s="84"/>
      <c r="HU31" s="85" t="str">
        <f t="shared" si="134"/>
        <v>-</v>
      </c>
      <c r="HV31" s="86" t="str">
        <f t="shared" si="66"/>
        <v/>
      </c>
      <c r="HW31" s="84"/>
      <c r="HX31" s="85" t="str">
        <f t="shared" si="135"/>
        <v>-</v>
      </c>
      <c r="HY31" s="86" t="str">
        <f t="shared" si="67"/>
        <v/>
      </c>
      <c r="HZ31" s="84" t="str">
        <f t="shared" si="68"/>
        <v/>
      </c>
      <c r="IA31" s="87"/>
      <c r="IB31" s="85" t="str">
        <f t="shared" si="136"/>
        <v>-</v>
      </c>
      <c r="IC31" s="17"/>
    </row>
    <row r="32">
      <c r="A32" s="88"/>
      <c r="B32" s="88"/>
      <c r="C32" s="89">
        <f>counta(C4:C31)</f>
        <v>0</v>
      </c>
      <c r="D32" s="89"/>
      <c r="E32" s="89"/>
      <c r="F32" s="89">
        <f>counta(F4:F31)</f>
        <v>0</v>
      </c>
      <c r="G32" s="89"/>
      <c r="H32" s="89"/>
      <c r="I32" s="89">
        <f>counta(I4:I31)</f>
        <v>0</v>
      </c>
      <c r="J32" s="89"/>
      <c r="K32" s="89"/>
      <c r="L32" s="89">
        <f>counta(L4:L31)</f>
        <v>0</v>
      </c>
      <c r="M32" s="89"/>
      <c r="N32" s="89"/>
      <c r="O32" s="89">
        <f>counta(O4:O31)</f>
        <v>0</v>
      </c>
      <c r="P32" s="89"/>
      <c r="Q32" s="89"/>
      <c r="R32" s="89">
        <f>counta(R4:R31)</f>
        <v>0</v>
      </c>
      <c r="S32" s="88"/>
      <c r="T32" s="88"/>
      <c r="U32" s="88"/>
      <c r="V32" s="88"/>
      <c r="W32" s="88"/>
      <c r="X32" s="88"/>
      <c r="Y32" s="88"/>
      <c r="Z32" s="88"/>
      <c r="AA32" s="89">
        <f>counta(AA4:AA31)</f>
        <v>0</v>
      </c>
      <c r="AB32" s="89"/>
      <c r="AC32" s="89"/>
      <c r="AD32" s="89">
        <f>counta(AD4:AD31)</f>
        <v>0</v>
      </c>
      <c r="AE32" s="89"/>
      <c r="AF32" s="89"/>
      <c r="AG32" s="89">
        <f>counta(AG4:AG31)</f>
        <v>0</v>
      </c>
      <c r="AH32" s="89"/>
      <c r="AI32" s="89"/>
      <c r="AJ32" s="89">
        <f>counta(AJ4:AJ31)</f>
        <v>0</v>
      </c>
      <c r="AK32" s="89"/>
      <c r="AL32" s="89"/>
      <c r="AM32" s="89">
        <f>counta(AM4:AM31)</f>
        <v>0</v>
      </c>
      <c r="AN32" s="89"/>
      <c r="AO32" s="89"/>
      <c r="AP32" s="89">
        <f>counta(AP4:AP31)</f>
        <v>0</v>
      </c>
      <c r="AQ32" s="88"/>
      <c r="AR32" s="88"/>
      <c r="AS32" s="88"/>
      <c r="AT32" s="88"/>
      <c r="AU32" s="88"/>
      <c r="AV32" s="90"/>
      <c r="AW32" s="88"/>
      <c r="AX32" s="88"/>
      <c r="AY32" s="89">
        <f>counta(AY4:AY31)</f>
        <v>0</v>
      </c>
      <c r="AZ32" s="89"/>
      <c r="BA32" s="89"/>
      <c r="BB32" s="89">
        <f>counta(BB4:BB31)</f>
        <v>0</v>
      </c>
      <c r="BC32" s="89"/>
      <c r="BD32" s="89"/>
      <c r="BE32" s="89">
        <f>counta(BE4:BE31)</f>
        <v>0</v>
      </c>
      <c r="BF32" s="89"/>
      <c r="BG32" s="89"/>
      <c r="BH32" s="89">
        <f>counta(BH4:BH31)</f>
        <v>0</v>
      </c>
      <c r="BI32" s="89"/>
      <c r="BJ32" s="89"/>
      <c r="BK32" s="89">
        <f>counta(BK4:BK31)</f>
        <v>0</v>
      </c>
      <c r="BL32" s="89"/>
      <c r="BM32" s="89"/>
      <c r="BN32" s="89">
        <f>counta(BN4:BN31)</f>
        <v>0</v>
      </c>
      <c r="BO32" s="88"/>
      <c r="BP32" s="88"/>
      <c r="BQ32" s="88"/>
      <c r="BR32" s="88"/>
      <c r="BS32" s="88"/>
      <c r="BT32" s="90"/>
      <c r="BU32" s="88"/>
      <c r="BV32" s="88"/>
      <c r="BW32" s="89">
        <f>counta(BW4:BW31)</f>
        <v>0</v>
      </c>
      <c r="BX32" s="89"/>
      <c r="BY32" s="89"/>
      <c r="BZ32" s="89">
        <f>counta(BZ4:BZ31)</f>
        <v>0</v>
      </c>
      <c r="CA32" s="89"/>
      <c r="CB32" s="89"/>
      <c r="CC32" s="89">
        <f>counta(CC4:CC31)</f>
        <v>0</v>
      </c>
      <c r="CD32" s="89"/>
      <c r="CE32" s="89"/>
      <c r="CF32" s="89">
        <f>counta(CF4:CF31)</f>
        <v>0</v>
      </c>
      <c r="CG32" s="89"/>
      <c r="CH32" s="89"/>
      <c r="CI32" s="89">
        <f>counta(CI4:CI31)</f>
        <v>0</v>
      </c>
      <c r="CJ32" s="89"/>
      <c r="CK32" s="89"/>
      <c r="CL32" s="89">
        <f>counta(CL4:CL31)</f>
        <v>0</v>
      </c>
      <c r="CM32" s="88"/>
      <c r="CN32" s="88"/>
      <c r="CO32" s="88"/>
      <c r="CP32" s="88"/>
      <c r="CQ32" s="91"/>
      <c r="CR32" s="90"/>
      <c r="CS32" s="88"/>
      <c r="CT32" s="88"/>
      <c r="CU32" s="89">
        <f>counta(CU4:CU31)</f>
        <v>0</v>
      </c>
      <c r="CV32" s="89"/>
      <c r="CW32" s="89"/>
      <c r="CX32" s="89">
        <f>counta(CX4:CX31)</f>
        <v>0</v>
      </c>
      <c r="CY32" s="89"/>
      <c r="CZ32" s="89"/>
      <c r="DA32" s="89">
        <f>counta(DA4:DA31)</f>
        <v>0</v>
      </c>
      <c r="DB32" s="89"/>
      <c r="DC32" s="89"/>
      <c r="DD32" s="89">
        <f>counta(DD4:DD31)</f>
        <v>0</v>
      </c>
      <c r="DE32" s="89"/>
      <c r="DF32" s="89"/>
      <c r="DG32" s="89">
        <f>counta(DG4:DG31)</f>
        <v>0</v>
      </c>
      <c r="DH32" s="89"/>
      <c r="DI32" s="89"/>
      <c r="DJ32" s="89">
        <f>counta(DJ4:DJ31)</f>
        <v>0</v>
      </c>
      <c r="DK32" s="88"/>
      <c r="DL32" s="88"/>
      <c r="DM32" s="88"/>
      <c r="DN32" s="88"/>
      <c r="DO32" s="91"/>
      <c r="DP32" s="90"/>
      <c r="DQ32" s="88"/>
      <c r="DR32" s="88"/>
      <c r="DS32" s="89">
        <f>counta(DS4:DS31)</f>
        <v>0</v>
      </c>
      <c r="DT32" s="89"/>
      <c r="DU32" s="89"/>
      <c r="DV32" s="89">
        <f>counta(DV4:DV31)</f>
        <v>0</v>
      </c>
      <c r="DW32" s="89"/>
      <c r="DX32" s="89"/>
      <c r="DY32" s="89">
        <f>counta(DY4:DY31)</f>
        <v>0</v>
      </c>
      <c r="DZ32" s="89"/>
      <c r="EA32" s="89"/>
      <c r="EB32" s="89">
        <f>counta(EB4:EB31)</f>
        <v>0</v>
      </c>
      <c r="EC32" s="89"/>
      <c r="ED32" s="89"/>
      <c r="EE32" s="89">
        <f>counta(EE4:EE31)</f>
        <v>0</v>
      </c>
      <c r="EF32" s="89"/>
      <c r="EG32" s="89"/>
      <c r="EH32" s="89">
        <f>counta(EH4:EH31)</f>
        <v>0</v>
      </c>
      <c r="EI32" s="88"/>
      <c r="EJ32" s="88"/>
      <c r="EK32" s="88"/>
      <c r="EL32" s="88"/>
      <c r="EM32" s="91"/>
      <c r="EN32" s="90"/>
      <c r="EO32" s="88"/>
      <c r="EP32" s="88"/>
      <c r="EQ32" s="89">
        <f>counta(EQ4:EQ31)</f>
        <v>0</v>
      </c>
      <c r="ER32" s="89"/>
      <c r="ES32" s="89"/>
      <c r="ET32" s="89">
        <f>counta(ET4:ET31)</f>
        <v>0</v>
      </c>
      <c r="EU32" s="89"/>
      <c r="EV32" s="89"/>
      <c r="EW32" s="89">
        <f>counta(EW4:EW31)</f>
        <v>0</v>
      </c>
      <c r="EX32" s="89"/>
      <c r="EY32" s="89"/>
      <c r="EZ32" s="89">
        <f>counta(EZ4:EZ31)</f>
        <v>0</v>
      </c>
      <c r="FA32" s="89"/>
      <c r="FB32" s="89"/>
      <c r="FC32" s="89">
        <f>counta(FC4:FC31)</f>
        <v>0</v>
      </c>
      <c r="FD32" s="89"/>
      <c r="FE32" s="89"/>
      <c r="FF32" s="89">
        <f>counta(FF4:FF31)</f>
        <v>0</v>
      </c>
      <c r="FG32" s="88"/>
      <c r="FH32" s="88"/>
      <c r="FI32" s="88"/>
      <c r="FJ32" s="88"/>
      <c r="FK32" s="91"/>
      <c r="FL32" s="90"/>
      <c r="FM32" s="88"/>
      <c r="FN32" s="88"/>
      <c r="FO32" s="89">
        <f>counta(FO4:FO31)</f>
        <v>0</v>
      </c>
      <c r="FP32" s="89"/>
      <c r="FQ32" s="89"/>
      <c r="FR32" s="89">
        <f>counta(FR4:FR31)</f>
        <v>0</v>
      </c>
      <c r="FS32" s="89"/>
      <c r="FT32" s="89"/>
      <c r="FU32" s="89">
        <f>counta(FU4:FU31)</f>
        <v>0</v>
      </c>
      <c r="FV32" s="89"/>
      <c r="FW32" s="89"/>
      <c r="FX32" s="89">
        <f>counta(FX4:FX31)</f>
        <v>0</v>
      </c>
      <c r="FY32" s="89"/>
      <c r="FZ32" s="89"/>
      <c r="GA32" s="89">
        <f>counta(GA4:GA31)</f>
        <v>0</v>
      </c>
      <c r="GB32" s="89"/>
      <c r="GC32" s="89"/>
      <c r="GD32" s="89">
        <f>counta(GD4:GD31)</f>
        <v>0</v>
      </c>
      <c r="GE32" s="88"/>
      <c r="GF32" s="88"/>
      <c r="GG32" s="88"/>
      <c r="GH32" s="88"/>
      <c r="GI32" s="91"/>
      <c r="GJ32" s="90"/>
      <c r="GK32" s="88"/>
      <c r="GL32" s="88"/>
      <c r="GM32" s="89">
        <f>counta(GM4:GM31)</f>
        <v>0</v>
      </c>
      <c r="GN32" s="89"/>
      <c r="GO32" s="89"/>
      <c r="GP32" s="89">
        <f>counta(GP4:GP31)</f>
        <v>0</v>
      </c>
      <c r="GQ32" s="89"/>
      <c r="GR32" s="89"/>
      <c r="GS32" s="89">
        <f>counta(GS4:GS31)</f>
        <v>0</v>
      </c>
      <c r="GT32" s="89"/>
      <c r="GU32" s="89"/>
      <c r="GV32" s="88"/>
      <c r="GW32" s="88"/>
      <c r="GX32" s="91"/>
      <c r="GY32" s="90"/>
      <c r="GZ32" s="88"/>
      <c r="HA32" s="88"/>
      <c r="HB32" s="89">
        <f>counta(HB4:HB31)</f>
        <v>0</v>
      </c>
      <c r="HC32" s="89"/>
      <c r="HD32" s="89"/>
      <c r="HE32" s="89">
        <f>counta(HE4:HE31)</f>
        <v>0</v>
      </c>
      <c r="HF32" s="89"/>
      <c r="HG32" s="89"/>
      <c r="HH32" s="89">
        <f>counta(HH4:HH31)</f>
        <v>0</v>
      </c>
      <c r="HI32" s="89"/>
      <c r="HJ32" s="89"/>
      <c r="HK32" s="88"/>
      <c r="HL32" s="88"/>
      <c r="HM32" s="91"/>
      <c r="HN32" s="91"/>
      <c r="HO32" s="88"/>
      <c r="HP32" s="88"/>
      <c r="HQ32" s="89">
        <f>counta(HQ4:HQ31)</f>
        <v>0</v>
      </c>
      <c r="HR32" s="89"/>
      <c r="HS32" s="89"/>
      <c r="HT32" s="89">
        <f>counta(HT4:HT31)</f>
        <v>0</v>
      </c>
      <c r="HU32" s="89"/>
      <c r="HV32" s="89"/>
      <c r="HW32" s="89">
        <f>counta(HW4:HW31)</f>
        <v>0</v>
      </c>
      <c r="HX32" s="89"/>
      <c r="HY32" s="89"/>
      <c r="HZ32" s="88"/>
      <c r="IA32" s="88"/>
      <c r="IB32" s="91"/>
      <c r="IC32" s="91"/>
    </row>
    <row r="33">
      <c r="A33" s="92"/>
      <c r="B33" s="93"/>
      <c r="D33" s="91"/>
      <c r="E33" s="91"/>
      <c r="F33" s="91"/>
      <c r="G33" s="91"/>
      <c r="H33" s="91"/>
      <c r="I33" s="91"/>
      <c r="J33" s="94"/>
      <c r="K33" s="94"/>
      <c r="L33" s="93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3"/>
      <c r="AB33" s="91"/>
      <c r="AC33" s="91"/>
      <c r="AD33" s="91"/>
      <c r="AE33" s="91"/>
      <c r="AF33" s="91"/>
      <c r="AG33" s="91"/>
      <c r="AH33" s="94"/>
      <c r="AI33" s="94"/>
      <c r="AJ33" s="93"/>
      <c r="AK33" s="91"/>
      <c r="AL33" s="91"/>
      <c r="AM33" s="91"/>
      <c r="AN33" s="91"/>
      <c r="AO33" s="91"/>
      <c r="AP33" s="91"/>
      <c r="AQ33" s="91"/>
      <c r="AR33" s="91"/>
      <c r="AS33" s="91"/>
      <c r="AT33" s="91"/>
      <c r="AU33" s="91"/>
      <c r="AV33" s="91"/>
      <c r="AW33" s="91"/>
      <c r="AX33" s="93"/>
      <c r="AZ33" s="91"/>
      <c r="BA33" s="91"/>
      <c r="BB33" s="91"/>
      <c r="BC33" s="91"/>
      <c r="BD33" s="91"/>
      <c r="BE33" s="91"/>
      <c r="BF33" s="94"/>
      <c r="BG33" s="94"/>
      <c r="BH33" s="93"/>
      <c r="BI33" s="91"/>
      <c r="BJ33" s="91"/>
      <c r="BK33" s="91"/>
      <c r="BL33" s="91"/>
      <c r="BM33" s="91"/>
      <c r="BN33" s="91"/>
      <c r="BO33" s="91"/>
      <c r="BP33" s="91"/>
      <c r="BQ33" s="91"/>
      <c r="BR33" s="91"/>
      <c r="BS33" s="91"/>
      <c r="BT33" s="91"/>
      <c r="BU33" s="91"/>
      <c r="BV33" s="93"/>
      <c r="BX33" s="91"/>
      <c r="BY33" s="91"/>
      <c r="BZ33" s="91"/>
      <c r="CA33" s="91"/>
      <c r="CB33" s="91"/>
      <c r="CC33" s="91"/>
      <c r="CD33" s="94"/>
      <c r="CE33" s="94"/>
      <c r="CF33" s="93"/>
      <c r="CG33" s="91"/>
      <c r="CH33" s="91"/>
      <c r="CI33" s="91"/>
      <c r="CJ33" s="91"/>
      <c r="CK33" s="91"/>
      <c r="CL33" s="91"/>
      <c r="CM33" s="91"/>
      <c r="CN33" s="91"/>
      <c r="CO33" s="91"/>
      <c r="CP33" s="91"/>
      <c r="CQ33" s="91"/>
      <c r="CR33" s="91"/>
      <c r="CS33" s="91"/>
      <c r="CT33" s="93"/>
      <c r="CV33" s="91"/>
      <c r="CW33" s="91"/>
      <c r="CX33" s="91"/>
      <c r="CY33" s="91"/>
      <c r="CZ33" s="91"/>
      <c r="DA33" s="91"/>
      <c r="DB33" s="94"/>
      <c r="DC33" s="94"/>
      <c r="DD33" s="93"/>
      <c r="DE33" s="91"/>
      <c r="DF33" s="91"/>
      <c r="DG33" s="91"/>
      <c r="DH33" s="91"/>
      <c r="DI33" s="91"/>
      <c r="DJ33" s="91"/>
      <c r="DK33" s="91"/>
      <c r="DL33" s="91"/>
      <c r="DM33" s="91"/>
      <c r="DN33" s="91"/>
      <c r="DO33" s="91"/>
      <c r="DP33" s="91"/>
      <c r="DQ33" s="91"/>
      <c r="DR33" s="93"/>
      <c r="DT33" s="91"/>
      <c r="DU33" s="91"/>
      <c r="DV33" s="91"/>
      <c r="DW33" s="91"/>
      <c r="DX33" s="91"/>
      <c r="DY33" s="91"/>
      <c r="DZ33" s="94"/>
      <c r="EA33" s="94"/>
      <c r="EB33" s="93"/>
      <c r="EC33" s="91"/>
      <c r="ED33" s="91"/>
      <c r="EE33" s="91"/>
      <c r="EF33" s="91"/>
      <c r="EG33" s="91"/>
      <c r="EH33" s="91"/>
      <c r="EI33" s="91"/>
      <c r="EJ33" s="91"/>
      <c r="EK33" s="91"/>
      <c r="EL33" s="91"/>
      <c r="EM33" s="91"/>
      <c r="EN33" s="91"/>
      <c r="EO33" s="91"/>
      <c r="EP33" s="93"/>
      <c r="ER33" s="91"/>
      <c r="ES33" s="91"/>
      <c r="ET33" s="91"/>
      <c r="EU33" s="91"/>
      <c r="EV33" s="91"/>
      <c r="EW33" s="91"/>
      <c r="EX33" s="94"/>
      <c r="EY33" s="94"/>
      <c r="EZ33" s="93"/>
      <c r="FA33" s="91"/>
      <c r="FB33" s="91"/>
      <c r="FC33" s="91"/>
      <c r="FD33" s="91"/>
      <c r="FE33" s="91"/>
      <c r="FF33" s="91"/>
      <c r="FG33" s="91"/>
      <c r="FH33" s="91"/>
      <c r="FI33" s="91"/>
      <c r="FJ33" s="91"/>
      <c r="FK33" s="91"/>
      <c r="FL33" s="91"/>
      <c r="FM33" s="91"/>
      <c r="FN33" s="93"/>
      <c r="FP33" s="91"/>
      <c r="FQ33" s="91"/>
      <c r="FR33" s="91"/>
      <c r="FS33" s="91"/>
      <c r="FT33" s="91"/>
      <c r="FU33" s="91"/>
      <c r="FV33" s="94"/>
      <c r="FW33" s="94"/>
      <c r="FX33" s="93"/>
      <c r="FY33" s="91"/>
      <c r="FZ33" s="91"/>
      <c r="GA33" s="91"/>
      <c r="GB33" s="91"/>
      <c r="GC33" s="91"/>
      <c r="GD33" s="91"/>
      <c r="GE33" s="91"/>
      <c r="GF33" s="91"/>
      <c r="GG33" s="91"/>
      <c r="GH33" s="91"/>
      <c r="GI33" s="91"/>
      <c r="GJ33" s="91"/>
      <c r="GK33" s="91"/>
      <c r="GL33" s="93"/>
      <c r="GN33" s="91"/>
      <c r="GO33" s="91"/>
      <c r="GP33" s="91"/>
      <c r="GQ33" s="91"/>
      <c r="GR33" s="91"/>
      <c r="GS33" s="91"/>
      <c r="GT33" s="94"/>
      <c r="GU33" s="94"/>
      <c r="GV33" s="91"/>
      <c r="GW33" s="91"/>
      <c r="GX33" s="91"/>
      <c r="GY33" s="91"/>
      <c r="GZ33" s="91"/>
      <c r="HA33" s="93"/>
      <c r="HC33" s="91"/>
      <c r="HD33" s="91"/>
      <c r="HE33" s="91"/>
      <c r="HF33" s="91"/>
      <c r="HG33" s="91"/>
      <c r="HH33" s="91"/>
      <c r="HI33" s="94"/>
      <c r="HJ33" s="94"/>
      <c r="HK33" s="91"/>
      <c r="HL33" s="91"/>
      <c r="HM33" s="91"/>
      <c r="HN33" s="91"/>
      <c r="HO33" s="91"/>
      <c r="HP33" s="93"/>
      <c r="HR33" s="91"/>
      <c r="HS33" s="91"/>
      <c r="HT33" s="91"/>
      <c r="HU33" s="91"/>
      <c r="HV33" s="91"/>
      <c r="HW33" s="91"/>
      <c r="HX33" s="94"/>
      <c r="HY33" s="94"/>
      <c r="HZ33" s="91"/>
      <c r="IA33" s="91"/>
      <c r="IB33" s="91"/>
      <c r="IC33" s="91"/>
    </row>
    <row r="34">
      <c r="B34" s="95" t="s">
        <v>75</v>
      </c>
      <c r="D34" s="91"/>
      <c r="E34" s="91"/>
      <c r="F34" s="91"/>
      <c r="G34" s="91"/>
      <c r="H34" s="91"/>
      <c r="I34" s="91"/>
      <c r="J34" s="94"/>
      <c r="K34" s="94"/>
      <c r="L34" s="95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5" t="s">
        <v>75</v>
      </c>
      <c r="AB34" s="91"/>
      <c r="AC34" s="91"/>
      <c r="AD34" s="91"/>
      <c r="AE34" s="91"/>
      <c r="AF34" s="91"/>
      <c r="AG34" s="91"/>
      <c r="AH34" s="94"/>
      <c r="AI34" s="94"/>
      <c r="AJ34" s="95"/>
      <c r="AK34" s="91"/>
      <c r="AL34" s="91"/>
      <c r="AM34" s="91"/>
      <c r="AN34" s="91"/>
      <c r="AO34" s="91"/>
      <c r="AP34" s="91"/>
      <c r="AQ34" s="91"/>
      <c r="AR34" s="91"/>
      <c r="AS34" s="91"/>
      <c r="AT34" s="91"/>
      <c r="AU34" s="91"/>
      <c r="AV34" s="91"/>
      <c r="AW34" s="91"/>
      <c r="AX34" s="96" t="s">
        <v>75</v>
      </c>
      <c r="AZ34" s="91"/>
      <c r="BA34" s="91"/>
      <c r="BB34" s="91"/>
      <c r="BC34" s="91"/>
      <c r="BD34" s="91"/>
      <c r="BE34" s="91"/>
      <c r="BF34" s="94"/>
      <c r="BG34" s="94"/>
      <c r="BH34" s="95"/>
      <c r="BI34" s="91"/>
      <c r="BJ34" s="91"/>
      <c r="BK34" s="91"/>
      <c r="BL34" s="91"/>
      <c r="BM34" s="91"/>
      <c r="BN34" s="91"/>
      <c r="BO34" s="91"/>
      <c r="BP34" s="91"/>
      <c r="BQ34" s="91"/>
      <c r="BR34" s="91"/>
      <c r="BS34" s="91"/>
      <c r="BT34" s="91"/>
      <c r="BU34" s="91"/>
      <c r="BV34" s="96" t="s">
        <v>75</v>
      </c>
      <c r="BX34" s="91"/>
      <c r="BY34" s="91"/>
      <c r="BZ34" s="91"/>
      <c r="CA34" s="91"/>
      <c r="CB34" s="91"/>
      <c r="CC34" s="91"/>
      <c r="CD34" s="94"/>
      <c r="CE34" s="94"/>
      <c r="CF34" s="95"/>
      <c r="CG34" s="91"/>
      <c r="CH34" s="91"/>
      <c r="CI34" s="91"/>
      <c r="CJ34" s="91"/>
      <c r="CK34" s="91"/>
      <c r="CL34" s="91"/>
      <c r="CM34" s="91"/>
      <c r="CN34" s="91"/>
      <c r="CO34" s="91"/>
      <c r="CP34" s="91"/>
      <c r="CQ34" s="91"/>
      <c r="CR34" s="91"/>
      <c r="CS34" s="91"/>
      <c r="CT34" s="96" t="s">
        <v>75</v>
      </c>
      <c r="CV34" s="91"/>
      <c r="CW34" s="91"/>
      <c r="CX34" s="91"/>
      <c r="CY34" s="91"/>
      <c r="CZ34" s="91"/>
      <c r="DA34" s="91"/>
      <c r="DB34" s="94"/>
      <c r="DC34" s="94"/>
      <c r="DD34" s="95"/>
      <c r="DE34" s="91"/>
      <c r="DF34" s="91"/>
      <c r="DG34" s="91"/>
      <c r="DH34" s="91"/>
      <c r="DI34" s="91"/>
      <c r="DJ34" s="91"/>
      <c r="DK34" s="91"/>
      <c r="DL34" s="91"/>
      <c r="DM34" s="91"/>
      <c r="DN34" s="91"/>
      <c r="DO34" s="91"/>
      <c r="DP34" s="91"/>
      <c r="DQ34" s="91"/>
      <c r="DR34" s="96" t="s">
        <v>75</v>
      </c>
      <c r="DT34" s="91"/>
      <c r="DU34" s="91"/>
      <c r="DV34" s="91"/>
      <c r="DW34" s="91"/>
      <c r="DX34" s="91"/>
      <c r="DY34" s="91"/>
      <c r="DZ34" s="94"/>
      <c r="EA34" s="94"/>
      <c r="EB34" s="95"/>
      <c r="EC34" s="91"/>
      <c r="ED34" s="91"/>
      <c r="EE34" s="91"/>
      <c r="EF34" s="91"/>
      <c r="EG34" s="91"/>
      <c r="EH34" s="91"/>
      <c r="EI34" s="91"/>
      <c r="EJ34" s="91"/>
      <c r="EK34" s="91"/>
      <c r="EL34" s="91"/>
      <c r="EM34" s="91"/>
      <c r="EN34" s="91"/>
      <c r="EO34" s="91"/>
      <c r="EP34" s="96" t="s">
        <v>75</v>
      </c>
      <c r="ER34" s="91"/>
      <c r="ES34" s="91"/>
      <c r="ET34" s="91"/>
      <c r="EU34" s="91"/>
      <c r="EV34" s="91"/>
      <c r="EW34" s="91"/>
      <c r="EX34" s="94"/>
      <c r="EY34" s="94"/>
      <c r="EZ34" s="95"/>
      <c r="FA34" s="91"/>
      <c r="FB34" s="91"/>
      <c r="FC34" s="91"/>
      <c r="FD34" s="91"/>
      <c r="FE34" s="91"/>
      <c r="FF34" s="91"/>
      <c r="FG34" s="91"/>
      <c r="FH34" s="91"/>
      <c r="FI34" s="91"/>
      <c r="FJ34" s="91"/>
      <c r="FK34" s="91"/>
      <c r="FL34" s="91"/>
      <c r="FM34" s="91"/>
      <c r="FN34" s="96" t="s">
        <v>75</v>
      </c>
      <c r="FP34" s="91"/>
      <c r="FQ34" s="91"/>
      <c r="FR34" s="91"/>
      <c r="FS34" s="91"/>
      <c r="FT34" s="91"/>
      <c r="FU34" s="91"/>
      <c r="FV34" s="94"/>
      <c r="FW34" s="94"/>
      <c r="FX34" s="95"/>
      <c r="FY34" s="91"/>
      <c r="FZ34" s="91"/>
      <c r="GA34" s="91"/>
      <c r="GB34" s="91"/>
      <c r="GC34" s="91"/>
      <c r="GD34" s="91"/>
      <c r="GE34" s="91"/>
      <c r="GF34" s="91"/>
      <c r="GG34" s="91"/>
      <c r="GH34" s="91"/>
      <c r="GI34" s="91"/>
      <c r="GJ34" s="91"/>
      <c r="GK34" s="91"/>
      <c r="GL34" s="96" t="s">
        <v>75</v>
      </c>
      <c r="GN34" s="91"/>
      <c r="GO34" s="91"/>
      <c r="GP34" s="91"/>
      <c r="GQ34" s="91"/>
      <c r="GR34" s="91"/>
      <c r="GS34" s="91"/>
      <c r="GT34" s="94"/>
      <c r="GU34" s="94"/>
      <c r="GV34" s="91"/>
      <c r="GW34" s="91"/>
      <c r="GX34" s="91"/>
      <c r="GY34" s="91"/>
      <c r="GZ34" s="91"/>
      <c r="HA34" s="96" t="s">
        <v>75</v>
      </c>
      <c r="HC34" s="91"/>
      <c r="HD34" s="91"/>
      <c r="HE34" s="91"/>
      <c r="HF34" s="91"/>
      <c r="HG34" s="91"/>
      <c r="HH34" s="91"/>
      <c r="HI34" s="94"/>
      <c r="HJ34" s="94"/>
      <c r="HK34" s="91"/>
      <c r="HL34" s="91"/>
      <c r="HM34" s="91"/>
      <c r="HN34" s="91"/>
      <c r="HO34" s="91"/>
      <c r="HP34" s="96" t="s">
        <v>75</v>
      </c>
      <c r="HR34" s="91"/>
      <c r="HS34" s="91"/>
      <c r="HT34" s="91"/>
      <c r="HU34" s="91"/>
      <c r="HV34" s="91"/>
      <c r="HW34" s="91"/>
      <c r="HX34" s="94"/>
      <c r="HY34" s="94"/>
      <c r="HZ34" s="91"/>
      <c r="IA34" s="91"/>
      <c r="IB34" s="91"/>
      <c r="IC34" s="91"/>
    </row>
    <row r="35">
      <c r="B35" s="97" t="s">
        <v>76</v>
      </c>
      <c r="C35" s="98">
        <f>COUNTIF(C4:C31,"WB")</f>
        <v>0</v>
      </c>
      <c r="D35" s="98"/>
      <c r="E35" s="98"/>
      <c r="F35" s="98">
        <f>COUNTIF(F4:F31,"WB")</f>
        <v>0</v>
      </c>
      <c r="G35" s="91"/>
      <c r="H35" s="91"/>
      <c r="I35" s="98">
        <f>COUNTIF(I4:I31,"WB")</f>
        <v>0</v>
      </c>
      <c r="J35" s="94"/>
      <c r="K35" s="94"/>
      <c r="L35" s="98">
        <f>COUNTIF(L4:L31,"WB")</f>
        <v>0</v>
      </c>
      <c r="M35" s="98"/>
      <c r="N35" s="98"/>
      <c r="O35" s="98">
        <f>COUNTIF(O4:O31,"WB")</f>
        <v>0</v>
      </c>
      <c r="P35" s="91"/>
      <c r="Q35" s="91"/>
      <c r="R35" s="98">
        <f>COUNTIF(R4:R31,"WB")</f>
        <v>0</v>
      </c>
      <c r="S35" s="91"/>
      <c r="T35" s="91"/>
      <c r="U35" s="91"/>
      <c r="V35" s="98">
        <f>COUNTIF(V4:V31,"WB")</f>
        <v>0</v>
      </c>
      <c r="W35" s="98"/>
      <c r="X35" s="91"/>
      <c r="Y35" s="98"/>
      <c r="Z35" s="97" t="s">
        <v>76</v>
      </c>
      <c r="AA35" s="98">
        <f>COUNTIF(AA4:AA31,"WB")</f>
        <v>0</v>
      </c>
      <c r="AB35" s="98"/>
      <c r="AC35" s="98"/>
      <c r="AD35" s="98">
        <f>COUNTIF(AD4:AD31,"WB")</f>
        <v>0</v>
      </c>
      <c r="AE35" s="91"/>
      <c r="AF35" s="91"/>
      <c r="AG35" s="98">
        <f>COUNTIF(AG4:AG31,"WB")</f>
        <v>0</v>
      </c>
      <c r="AH35" s="94"/>
      <c r="AI35" s="94"/>
      <c r="AJ35" s="98">
        <f>COUNTIF(AJ4:AJ31,"WB")</f>
        <v>0</v>
      </c>
      <c r="AK35" s="98"/>
      <c r="AL35" s="98"/>
      <c r="AM35" s="98">
        <f>COUNTIF(AM4:AM31,"WB")</f>
        <v>0</v>
      </c>
      <c r="AN35" s="91"/>
      <c r="AO35" s="91"/>
      <c r="AP35" s="98">
        <f>COUNTIF(AP4:AP31,"WB")</f>
        <v>0</v>
      </c>
      <c r="AQ35" s="91"/>
      <c r="AR35" s="91"/>
      <c r="AS35" s="91"/>
      <c r="AT35" s="98">
        <f>COUNTIF(AT4:AT31,"WB")</f>
        <v>0</v>
      </c>
      <c r="AU35" s="98"/>
      <c r="AV35" s="98"/>
      <c r="AW35" s="98"/>
      <c r="AX35" s="97" t="s">
        <v>76</v>
      </c>
      <c r="AY35" s="98">
        <f>COUNTIF(AY4:AY31,"WB")</f>
        <v>0</v>
      </c>
      <c r="AZ35" s="98"/>
      <c r="BA35" s="98"/>
      <c r="BB35" s="98">
        <f>COUNTIF(BB4:BB31,"WB")</f>
        <v>0</v>
      </c>
      <c r="BC35" s="91"/>
      <c r="BD35" s="91"/>
      <c r="BE35" s="98">
        <f>COUNTIF(BE4:BE31,"WB")</f>
        <v>0</v>
      </c>
      <c r="BF35" s="94"/>
      <c r="BG35" s="94"/>
      <c r="BH35" s="98">
        <f>COUNTIF(BH4:BH31,"WB")</f>
        <v>0</v>
      </c>
      <c r="BI35" s="98"/>
      <c r="BJ35" s="98"/>
      <c r="BK35" s="98">
        <f>COUNTIF(BK4:BK31,"WB")</f>
        <v>0</v>
      </c>
      <c r="BL35" s="91"/>
      <c r="BM35" s="91"/>
      <c r="BN35" s="98">
        <f>COUNTIF(BN4:BN31,"WB")</f>
        <v>0</v>
      </c>
      <c r="BO35" s="91"/>
      <c r="BP35" s="91"/>
      <c r="BQ35" s="91"/>
      <c r="BR35" s="98">
        <f>COUNTIF(BR4:BR31,"WB")</f>
        <v>0</v>
      </c>
      <c r="BS35" s="91"/>
      <c r="BT35" s="98"/>
      <c r="BU35" s="98"/>
      <c r="BV35" s="97" t="s">
        <v>76</v>
      </c>
      <c r="BW35" s="98">
        <f>COUNTIF(BW4:BW31,"WB")</f>
        <v>0</v>
      </c>
      <c r="BX35" s="98"/>
      <c r="BY35" s="98"/>
      <c r="BZ35" s="98">
        <f>COUNTIF(BZ4:BZ31,"WB")</f>
        <v>0</v>
      </c>
      <c r="CA35" s="91"/>
      <c r="CB35" s="91"/>
      <c r="CC35" s="98">
        <f>COUNTIF(CC4:CC31,"WB")</f>
        <v>0</v>
      </c>
      <c r="CD35" s="94"/>
      <c r="CE35" s="94"/>
      <c r="CF35" s="98">
        <f>COUNTIF(CF4:CF31,"WB")</f>
        <v>0</v>
      </c>
      <c r="CG35" s="98"/>
      <c r="CH35" s="98"/>
      <c r="CI35" s="98">
        <f>COUNTIF(CI4:CI31,"WB")</f>
        <v>0</v>
      </c>
      <c r="CJ35" s="91"/>
      <c r="CK35" s="91"/>
      <c r="CL35" s="98">
        <f>COUNTIF(CL4:CL31,"WB")</f>
        <v>0</v>
      </c>
      <c r="CM35" s="91"/>
      <c r="CN35" s="91"/>
      <c r="CO35" s="91"/>
      <c r="CP35" s="98">
        <f>COUNTIF(CP4:CP31,"WB")</f>
        <v>0</v>
      </c>
      <c r="CQ35" s="91"/>
      <c r="CR35" s="98"/>
      <c r="CS35" s="98"/>
      <c r="CT35" s="97" t="s">
        <v>76</v>
      </c>
      <c r="CU35" s="98">
        <f>COUNTIF(CU4:CU31,"WB")</f>
        <v>0</v>
      </c>
      <c r="CV35" s="98"/>
      <c r="CW35" s="98"/>
      <c r="CX35" s="98">
        <f>COUNTIF(CX4:CX31,"WB")</f>
        <v>0</v>
      </c>
      <c r="CY35" s="91"/>
      <c r="CZ35" s="91"/>
      <c r="DA35" s="98">
        <f>COUNTIF(DA4:DA31,"WB")</f>
        <v>0</v>
      </c>
      <c r="DB35" s="94"/>
      <c r="DC35" s="94"/>
      <c r="DD35" s="98">
        <f>COUNTIF(DD4:DD31,"WB")</f>
        <v>0</v>
      </c>
      <c r="DE35" s="98"/>
      <c r="DF35" s="98"/>
      <c r="DG35" s="98">
        <f>COUNTIF(DG4:DG31,"WB")</f>
        <v>0</v>
      </c>
      <c r="DH35" s="91"/>
      <c r="DI35" s="91"/>
      <c r="DJ35" s="98">
        <f>COUNTIF(DJ4:DJ31,"WB")</f>
        <v>0</v>
      </c>
      <c r="DK35" s="91"/>
      <c r="DL35" s="91"/>
      <c r="DM35" s="91"/>
      <c r="DN35" s="98">
        <f>COUNTIF(DN4:DN31,"WB")</f>
        <v>0</v>
      </c>
      <c r="DO35" s="91"/>
      <c r="DP35" s="98"/>
      <c r="DQ35" s="98"/>
      <c r="DR35" s="97" t="s">
        <v>76</v>
      </c>
      <c r="DS35" s="98">
        <f>COUNTIF(DS4:DS31,"WB")</f>
        <v>0</v>
      </c>
      <c r="DT35" s="98"/>
      <c r="DU35" s="98"/>
      <c r="DV35" s="98">
        <f>COUNTIF(DV4:DV31,"WB")</f>
        <v>0</v>
      </c>
      <c r="DW35" s="91"/>
      <c r="DX35" s="91"/>
      <c r="DY35" s="98">
        <f>COUNTIF(DY4:DY31,"WB")</f>
        <v>0</v>
      </c>
      <c r="DZ35" s="94"/>
      <c r="EA35" s="94"/>
      <c r="EB35" s="98">
        <f>COUNTIF(EB4:EB31,"WB")</f>
        <v>0</v>
      </c>
      <c r="EC35" s="98"/>
      <c r="ED35" s="98"/>
      <c r="EE35" s="98">
        <f>COUNTIF(EE4:EE31,"WB")</f>
        <v>0</v>
      </c>
      <c r="EF35" s="91"/>
      <c r="EG35" s="91"/>
      <c r="EH35" s="98">
        <f>COUNTIF(EH4:EH31,"WB")</f>
        <v>0</v>
      </c>
      <c r="EI35" s="91"/>
      <c r="EJ35" s="91"/>
      <c r="EK35" s="91"/>
      <c r="EL35" s="98">
        <f>COUNTIF(EL4:EL31,"WB")</f>
        <v>0</v>
      </c>
      <c r="EM35" s="91"/>
      <c r="EN35" s="98"/>
      <c r="EO35" s="98"/>
      <c r="EP35" s="97" t="s">
        <v>76</v>
      </c>
      <c r="EQ35" s="98">
        <f>COUNTIF(EQ4:EQ31,"WB")</f>
        <v>0</v>
      </c>
      <c r="ER35" s="98"/>
      <c r="ES35" s="98"/>
      <c r="ET35" s="98">
        <f>COUNTIF(ET4:ET31,"WB")</f>
        <v>0</v>
      </c>
      <c r="EU35" s="91"/>
      <c r="EV35" s="91"/>
      <c r="EW35" s="98">
        <f>COUNTIF(EW4:EW31,"WB")</f>
        <v>0</v>
      </c>
      <c r="EX35" s="94"/>
      <c r="EY35" s="94"/>
      <c r="EZ35" s="98">
        <f>COUNTIF(EZ4:EZ31,"WB")</f>
        <v>0</v>
      </c>
      <c r="FA35" s="98"/>
      <c r="FB35" s="98"/>
      <c r="FC35" s="98">
        <f>COUNTIF(FC4:FC31,"WB")</f>
        <v>0</v>
      </c>
      <c r="FD35" s="91"/>
      <c r="FE35" s="91"/>
      <c r="FF35" s="98">
        <f>COUNTIF(FF4:FF31,"WB")</f>
        <v>0</v>
      </c>
      <c r="FG35" s="91"/>
      <c r="FH35" s="91"/>
      <c r="FI35" s="91"/>
      <c r="FJ35" s="98">
        <f>COUNTIF(FJ4:FJ31,"WB")</f>
        <v>0</v>
      </c>
      <c r="FK35" s="91"/>
      <c r="FL35" s="98"/>
      <c r="FM35" s="98"/>
      <c r="FN35" s="97" t="s">
        <v>76</v>
      </c>
      <c r="FO35" s="98">
        <f>COUNTIF(FO4:FO31,"WB")</f>
        <v>0</v>
      </c>
      <c r="FP35" s="98"/>
      <c r="FQ35" s="98"/>
      <c r="FR35" s="98">
        <f>COUNTIF(FR4:FR31,"WB")</f>
        <v>0</v>
      </c>
      <c r="FS35" s="91"/>
      <c r="FT35" s="91"/>
      <c r="FU35" s="98">
        <f>COUNTIF(FU4:FU31,"WB")</f>
        <v>0</v>
      </c>
      <c r="FV35" s="94"/>
      <c r="FW35" s="94"/>
      <c r="FX35" s="98">
        <f>COUNTIF(FX4:FX31,"WB")</f>
        <v>0</v>
      </c>
      <c r="FY35" s="98"/>
      <c r="FZ35" s="98"/>
      <c r="GA35" s="98">
        <f>COUNTIF(GA4:GA31,"WB")</f>
        <v>0</v>
      </c>
      <c r="GB35" s="91"/>
      <c r="GC35" s="91"/>
      <c r="GD35" s="98">
        <f>COUNTIF(GD4:GD31,"WB")</f>
        <v>0</v>
      </c>
      <c r="GE35" s="91"/>
      <c r="GF35" s="91"/>
      <c r="GG35" s="91"/>
      <c r="GH35" s="98">
        <f>COUNTIF(GH4:GH31,"WB")</f>
        <v>0</v>
      </c>
      <c r="GI35" s="91"/>
      <c r="GJ35" s="98"/>
      <c r="GK35" s="98"/>
      <c r="GL35" s="97" t="s">
        <v>76</v>
      </c>
      <c r="GM35" s="98">
        <f>COUNTIF(GM4:GM31,"WB")</f>
        <v>0</v>
      </c>
      <c r="GN35" s="98"/>
      <c r="GO35" s="98"/>
      <c r="GP35" s="98">
        <f>COUNTIF(GP4:GP31,"WB")</f>
        <v>0</v>
      </c>
      <c r="GQ35" s="91"/>
      <c r="GR35" s="91"/>
      <c r="GS35" s="98">
        <f>COUNTIF(GS4:GS31,"WB")</f>
        <v>0</v>
      </c>
      <c r="GT35" s="94"/>
      <c r="GU35" s="94"/>
      <c r="GV35" s="91"/>
      <c r="GW35" s="98">
        <f>COUNTIF(GW4:GW31,"WB")</f>
        <v>0</v>
      </c>
      <c r="GX35" s="91"/>
      <c r="GY35" s="98"/>
      <c r="GZ35" s="98"/>
      <c r="HA35" s="97" t="s">
        <v>76</v>
      </c>
      <c r="HB35" s="98">
        <f>COUNTIF(HB4:HB31,"WB")</f>
        <v>0</v>
      </c>
      <c r="HC35" s="98"/>
      <c r="HD35" s="98"/>
      <c r="HE35" s="98">
        <f>COUNTIF(HE4:HE31,"WB")</f>
        <v>0</v>
      </c>
      <c r="HF35" s="91"/>
      <c r="HG35" s="91"/>
      <c r="HH35" s="98">
        <f>COUNTIF(HH4:HH31,"WB")</f>
        <v>0</v>
      </c>
      <c r="HI35" s="94"/>
      <c r="HJ35" s="94"/>
      <c r="HK35" s="91"/>
      <c r="HL35" s="98">
        <f>COUNTIF(HL4:HL31,"WB")</f>
        <v>0</v>
      </c>
      <c r="HM35" s="91"/>
      <c r="HN35" s="91"/>
      <c r="HO35" s="98"/>
      <c r="HP35" s="97" t="s">
        <v>76</v>
      </c>
      <c r="HQ35" s="98">
        <f>COUNTIF(HQ4:HQ31,"WB")</f>
        <v>0</v>
      </c>
      <c r="HR35" s="98"/>
      <c r="HS35" s="98"/>
      <c r="HT35" s="98">
        <f>COUNTIF(HT4:HT31,"WB")</f>
        <v>0</v>
      </c>
      <c r="HU35" s="91"/>
      <c r="HV35" s="91"/>
      <c r="HW35" s="98">
        <f>COUNTIF(HW4:HW31,"WB")</f>
        <v>0</v>
      </c>
      <c r="HX35" s="94"/>
      <c r="HY35" s="94"/>
      <c r="HZ35" s="91"/>
      <c r="IA35" s="98">
        <f>COUNTIF(IA4:IA31,"WB")</f>
        <v>0</v>
      </c>
      <c r="IB35" s="91"/>
      <c r="IC35" s="91"/>
    </row>
    <row r="36">
      <c r="B36" s="99" t="s">
        <v>77</v>
      </c>
      <c r="C36" s="100" t="str">
        <f>iferror(C35/C32,"")</f>
        <v/>
      </c>
      <c r="D36" s="100"/>
      <c r="E36" s="100"/>
      <c r="F36" s="100" t="str">
        <f>iferror(F35/F32,"")</f>
        <v/>
      </c>
      <c r="G36" s="101"/>
      <c r="H36" s="101"/>
      <c r="I36" s="100" t="str">
        <f>iferror(I35/I32,"")</f>
        <v/>
      </c>
      <c r="J36" s="91"/>
      <c r="K36" s="91"/>
      <c r="L36" s="100" t="str">
        <f>iferror(L35/L32,"")</f>
        <v/>
      </c>
      <c r="M36" s="100"/>
      <c r="N36" s="100"/>
      <c r="O36" s="100" t="str">
        <f>iferror(O35/O32,"")</f>
        <v/>
      </c>
      <c r="P36" s="101"/>
      <c r="Q36" s="101"/>
      <c r="R36" s="100" t="str">
        <f>iferror(R35/R32,"")</f>
        <v/>
      </c>
      <c r="S36" s="101"/>
      <c r="T36" s="101"/>
      <c r="U36" s="101"/>
      <c r="V36" s="100" t="str">
        <f>iferror(V35/V32,"")</f>
        <v/>
      </c>
      <c r="W36" s="100"/>
      <c r="X36" s="91"/>
      <c r="Y36" s="101"/>
      <c r="Z36" s="99" t="s">
        <v>77</v>
      </c>
      <c r="AA36" s="100" t="str">
        <f>iferror(AA35/AA32,"")</f>
        <v/>
      </c>
      <c r="AB36" s="100"/>
      <c r="AC36" s="100"/>
      <c r="AD36" s="100" t="str">
        <f>iferror(AD35/AD32,"")</f>
        <v/>
      </c>
      <c r="AE36" s="101"/>
      <c r="AF36" s="101"/>
      <c r="AG36" s="100" t="str">
        <f>iferror(AG35/AG32,"")</f>
        <v/>
      </c>
      <c r="AH36" s="91"/>
      <c r="AI36" s="91"/>
      <c r="AJ36" s="100" t="str">
        <f>iferror(AJ35/AJ32,"")</f>
        <v/>
      </c>
      <c r="AK36" s="100"/>
      <c r="AL36" s="100"/>
      <c r="AM36" s="100" t="str">
        <f>iferror(AM35/AM32,"")</f>
        <v/>
      </c>
      <c r="AN36" s="101"/>
      <c r="AO36" s="101"/>
      <c r="AP36" s="100" t="str">
        <f>iferror(AP35/AP32,"")</f>
        <v/>
      </c>
      <c r="AQ36" s="101"/>
      <c r="AR36" s="101"/>
      <c r="AS36" s="101"/>
      <c r="AT36" s="100" t="str">
        <f>iferror(AT35/AT32,"")</f>
        <v/>
      </c>
      <c r="AU36" s="100"/>
      <c r="AV36" s="100"/>
      <c r="AW36" s="101"/>
      <c r="AX36" s="99" t="s">
        <v>77</v>
      </c>
      <c r="AY36" s="100" t="str">
        <f>iferror(AY35/AY32,"")</f>
        <v/>
      </c>
      <c r="AZ36" s="100"/>
      <c r="BA36" s="100"/>
      <c r="BB36" s="100" t="str">
        <f>iferror(BB35/BB32,"")</f>
        <v/>
      </c>
      <c r="BC36" s="101"/>
      <c r="BD36" s="101"/>
      <c r="BE36" s="100" t="str">
        <f>iferror(BE35/BE32,"")</f>
        <v/>
      </c>
      <c r="BF36" s="91"/>
      <c r="BG36" s="91"/>
      <c r="BH36" s="100" t="str">
        <f>iferror(BH35/BH32,"")</f>
        <v/>
      </c>
      <c r="BI36" s="100"/>
      <c r="BJ36" s="100"/>
      <c r="BK36" s="100" t="str">
        <f>iferror(BK35/BK32,"")</f>
        <v/>
      </c>
      <c r="BL36" s="101"/>
      <c r="BM36" s="101"/>
      <c r="BN36" s="100" t="str">
        <f>iferror(BN35/BN32,"")</f>
        <v/>
      </c>
      <c r="BO36" s="101"/>
      <c r="BP36" s="101"/>
      <c r="BQ36" s="101"/>
      <c r="BR36" s="100" t="str">
        <f>iferror(BR35/BR32,"")</f>
        <v/>
      </c>
      <c r="BS36" s="101"/>
      <c r="BT36" s="100"/>
      <c r="BU36" s="101"/>
      <c r="BV36" s="99" t="s">
        <v>77</v>
      </c>
      <c r="BW36" s="100" t="str">
        <f>iferror(BW35/BW32,"")</f>
        <v/>
      </c>
      <c r="BX36" s="100"/>
      <c r="BY36" s="100"/>
      <c r="BZ36" s="100" t="str">
        <f>iferror(BZ35/BZ32,"")</f>
        <v/>
      </c>
      <c r="CA36" s="101"/>
      <c r="CB36" s="101"/>
      <c r="CC36" s="100" t="str">
        <f>iferror(CC35/CC32,"")</f>
        <v/>
      </c>
      <c r="CD36" s="91"/>
      <c r="CE36" s="91"/>
      <c r="CF36" s="100" t="str">
        <f>iferror(CF35/CF32,"")</f>
        <v/>
      </c>
      <c r="CG36" s="100"/>
      <c r="CH36" s="100"/>
      <c r="CI36" s="100" t="str">
        <f>iferror(CI35/CI32,"")</f>
        <v/>
      </c>
      <c r="CJ36" s="101"/>
      <c r="CK36" s="101"/>
      <c r="CL36" s="100" t="str">
        <f>iferror(CL35/CL32,"")</f>
        <v/>
      </c>
      <c r="CM36" s="101"/>
      <c r="CN36" s="101"/>
      <c r="CO36" s="101"/>
      <c r="CP36" s="100" t="str">
        <f>iferror(CP35/CP32,"")</f>
        <v/>
      </c>
      <c r="CQ36" s="101"/>
      <c r="CR36" s="100"/>
      <c r="CS36" s="101"/>
      <c r="CT36" s="99" t="s">
        <v>77</v>
      </c>
      <c r="CU36" s="100" t="str">
        <f>iferror(CU35/CU32,"")</f>
        <v/>
      </c>
      <c r="CV36" s="100"/>
      <c r="CW36" s="100"/>
      <c r="CX36" s="100" t="str">
        <f>iferror(CX35/CX32,"")</f>
        <v/>
      </c>
      <c r="CY36" s="101"/>
      <c r="CZ36" s="101"/>
      <c r="DA36" s="100" t="str">
        <f>iferror(DA35/DA32,"")</f>
        <v/>
      </c>
      <c r="DB36" s="91"/>
      <c r="DC36" s="91"/>
      <c r="DD36" s="100" t="str">
        <f>iferror(DD35/DD32,"")</f>
        <v/>
      </c>
      <c r="DE36" s="100"/>
      <c r="DF36" s="100"/>
      <c r="DG36" s="100" t="str">
        <f>iferror(DG35/DG32,"")</f>
        <v/>
      </c>
      <c r="DH36" s="101"/>
      <c r="DI36" s="101"/>
      <c r="DJ36" s="100" t="str">
        <f>iferror(DJ35/DJ32,"")</f>
        <v/>
      </c>
      <c r="DK36" s="101"/>
      <c r="DL36" s="101"/>
      <c r="DM36" s="101"/>
      <c r="DN36" s="100" t="str">
        <f>iferror(DN35/DN32,"")</f>
        <v/>
      </c>
      <c r="DO36" s="101"/>
      <c r="DP36" s="100"/>
      <c r="DQ36" s="101"/>
      <c r="DR36" s="99" t="s">
        <v>77</v>
      </c>
      <c r="DS36" s="100" t="str">
        <f>iferror(DS35/DS32,"")</f>
        <v/>
      </c>
      <c r="DT36" s="100"/>
      <c r="DU36" s="100"/>
      <c r="DV36" s="100" t="str">
        <f>iferror(DV35/DV32,"")</f>
        <v/>
      </c>
      <c r="DW36" s="101"/>
      <c r="DX36" s="101"/>
      <c r="DY36" s="100" t="str">
        <f>iferror(DY35/DY32,"")</f>
        <v/>
      </c>
      <c r="DZ36" s="91"/>
      <c r="EA36" s="91"/>
      <c r="EB36" s="100" t="str">
        <f>iferror(EB35/EB32,"")</f>
        <v/>
      </c>
      <c r="EC36" s="100"/>
      <c r="ED36" s="100"/>
      <c r="EE36" s="100" t="str">
        <f>iferror(EE35/EE32,"")</f>
        <v/>
      </c>
      <c r="EF36" s="101"/>
      <c r="EG36" s="101"/>
      <c r="EH36" s="100" t="str">
        <f>iferror(EH35/EH32,"")</f>
        <v/>
      </c>
      <c r="EI36" s="101"/>
      <c r="EJ36" s="101"/>
      <c r="EK36" s="101"/>
      <c r="EL36" s="100" t="str">
        <f>iferror(EL35/EL32,"")</f>
        <v/>
      </c>
      <c r="EM36" s="101"/>
      <c r="EN36" s="100"/>
      <c r="EO36" s="101"/>
      <c r="EP36" s="99" t="s">
        <v>77</v>
      </c>
      <c r="EQ36" s="100" t="str">
        <f>iferror(EQ35/EQ32,"")</f>
        <v/>
      </c>
      <c r="ER36" s="100"/>
      <c r="ES36" s="100"/>
      <c r="ET36" s="100" t="str">
        <f>iferror(ET35/ET32,"")</f>
        <v/>
      </c>
      <c r="EU36" s="101"/>
      <c r="EV36" s="101"/>
      <c r="EW36" s="100" t="str">
        <f>iferror(EW35/EW32,"")</f>
        <v/>
      </c>
      <c r="EX36" s="91"/>
      <c r="EY36" s="91"/>
      <c r="EZ36" s="100" t="str">
        <f>iferror(EZ35/EZ32,"")</f>
        <v/>
      </c>
      <c r="FA36" s="100"/>
      <c r="FB36" s="100"/>
      <c r="FC36" s="100" t="str">
        <f>iferror(FC35/FC32,"")</f>
        <v/>
      </c>
      <c r="FD36" s="101"/>
      <c r="FE36" s="101"/>
      <c r="FF36" s="100" t="str">
        <f>iferror(FF35/FF32,"")</f>
        <v/>
      </c>
      <c r="FG36" s="101"/>
      <c r="FH36" s="101"/>
      <c r="FI36" s="101"/>
      <c r="FJ36" s="100" t="str">
        <f>iferror(FJ35/FJ32,"")</f>
        <v/>
      </c>
      <c r="FK36" s="101"/>
      <c r="FL36" s="100"/>
      <c r="FM36" s="101"/>
      <c r="FN36" s="99" t="s">
        <v>77</v>
      </c>
      <c r="FO36" s="100" t="str">
        <f>iferror(FO35/FO32,"")</f>
        <v/>
      </c>
      <c r="FP36" s="100"/>
      <c r="FQ36" s="100"/>
      <c r="FR36" s="100" t="str">
        <f>iferror(FR35/FR32,"")</f>
        <v/>
      </c>
      <c r="FS36" s="101"/>
      <c r="FT36" s="101"/>
      <c r="FU36" s="100" t="str">
        <f>iferror(FU35/FU32,"")</f>
        <v/>
      </c>
      <c r="FV36" s="91"/>
      <c r="FW36" s="91"/>
      <c r="FX36" s="100" t="str">
        <f>iferror(FX35/FX32,"")</f>
        <v/>
      </c>
      <c r="FY36" s="100"/>
      <c r="FZ36" s="100"/>
      <c r="GA36" s="100" t="str">
        <f>iferror(GA35/GA32,"")</f>
        <v/>
      </c>
      <c r="GB36" s="101"/>
      <c r="GC36" s="101"/>
      <c r="GD36" s="100" t="str">
        <f>iferror(GD35/GD32,"")</f>
        <v/>
      </c>
      <c r="GE36" s="101"/>
      <c r="GF36" s="101"/>
      <c r="GG36" s="101"/>
      <c r="GH36" s="100" t="str">
        <f>iferror(GH35/GH32,"")</f>
        <v/>
      </c>
      <c r="GI36" s="101"/>
      <c r="GJ36" s="100"/>
      <c r="GK36" s="101"/>
      <c r="GL36" s="99" t="s">
        <v>77</v>
      </c>
      <c r="GM36" s="100" t="str">
        <f>iferror(GM35/GM32,"")</f>
        <v/>
      </c>
      <c r="GN36" s="100"/>
      <c r="GO36" s="100"/>
      <c r="GP36" s="100" t="str">
        <f>iferror(GP35/GP32,"")</f>
        <v/>
      </c>
      <c r="GQ36" s="101"/>
      <c r="GR36" s="101"/>
      <c r="GS36" s="100" t="str">
        <f>iferror(GS35/GS32,"")</f>
        <v/>
      </c>
      <c r="GT36" s="91"/>
      <c r="GU36" s="91"/>
      <c r="GV36" s="101"/>
      <c r="GW36" s="100" t="str">
        <f>iferror(GW35/GW32,"")</f>
        <v/>
      </c>
      <c r="GX36" s="101"/>
      <c r="GY36" s="100"/>
      <c r="GZ36" s="101"/>
      <c r="HA36" s="99" t="s">
        <v>77</v>
      </c>
      <c r="HB36" s="100" t="str">
        <f>iferror(HB35/HB32,"")</f>
        <v/>
      </c>
      <c r="HC36" s="100"/>
      <c r="HD36" s="100"/>
      <c r="HE36" s="100" t="str">
        <f>iferror(HE35/HE32,"")</f>
        <v/>
      </c>
      <c r="HF36" s="101"/>
      <c r="HG36" s="101"/>
      <c r="HH36" s="100" t="str">
        <f>iferror(HH35/HH32,"")</f>
        <v/>
      </c>
      <c r="HI36" s="91"/>
      <c r="HJ36" s="91"/>
      <c r="HK36" s="101"/>
      <c r="HL36" s="100" t="str">
        <f>iferror(HL35/HL32,"")</f>
        <v/>
      </c>
      <c r="HM36" s="101"/>
      <c r="HN36" s="101"/>
      <c r="HO36" s="101"/>
      <c r="HP36" s="99" t="s">
        <v>77</v>
      </c>
      <c r="HQ36" s="100" t="str">
        <f>iferror(HQ35/HQ32,"")</f>
        <v/>
      </c>
      <c r="HR36" s="100"/>
      <c r="HS36" s="100"/>
      <c r="HT36" s="100" t="str">
        <f>iferror(HT35/HT32,"")</f>
        <v/>
      </c>
      <c r="HU36" s="101"/>
      <c r="HV36" s="101"/>
      <c r="HW36" s="100" t="str">
        <f>iferror(HW35/HW32,"")</f>
        <v/>
      </c>
      <c r="HX36" s="91"/>
      <c r="HY36" s="91"/>
      <c r="HZ36" s="101"/>
      <c r="IA36" s="100" t="str">
        <f>iferror(IA35/IA32,"")</f>
        <v/>
      </c>
      <c r="IB36" s="101"/>
      <c r="IC36" s="101"/>
    </row>
    <row r="37">
      <c r="B37" s="97" t="s">
        <v>78</v>
      </c>
      <c r="C37" s="98">
        <f>COUNTIF(C$4:C$31,"WT")</f>
        <v>0</v>
      </c>
      <c r="D37" s="98"/>
      <c r="E37" s="98"/>
      <c r="F37" s="98">
        <f>COUNTIF(F$4:F$31,"WT")</f>
        <v>0</v>
      </c>
      <c r="G37" s="91"/>
      <c r="H37" s="91"/>
      <c r="I37" s="98">
        <f>COUNTIF(I$4:I$31,"WT")</f>
        <v>0</v>
      </c>
      <c r="J37" s="94"/>
      <c r="K37" s="94"/>
      <c r="L37" s="98">
        <f>COUNTIF(L$4:L$31,"WT")</f>
        <v>0</v>
      </c>
      <c r="M37" s="98"/>
      <c r="N37" s="98"/>
      <c r="O37" s="98">
        <f>COUNTIF(O$4:O$31,"WT")</f>
        <v>0</v>
      </c>
      <c r="P37" s="91"/>
      <c r="Q37" s="91"/>
      <c r="R37" s="98">
        <f>COUNTIF(R$4:R$31,"WT")</f>
        <v>0</v>
      </c>
      <c r="S37" s="91"/>
      <c r="T37" s="91"/>
      <c r="U37" s="91"/>
      <c r="V37" s="98">
        <f>COUNTIF(V$4:V$31,"WT")</f>
        <v>0</v>
      </c>
      <c r="W37" s="98"/>
      <c r="X37" s="91"/>
      <c r="Y37" s="98"/>
      <c r="Z37" s="97" t="s">
        <v>78</v>
      </c>
      <c r="AA37" s="98">
        <f>COUNTIF(AA$4:AA$31,"WT")</f>
        <v>0</v>
      </c>
      <c r="AB37" s="98"/>
      <c r="AC37" s="98"/>
      <c r="AD37" s="98">
        <f>COUNTIF(AD$4:AD$31,"WT")</f>
        <v>0</v>
      </c>
      <c r="AE37" s="91"/>
      <c r="AF37" s="91"/>
      <c r="AG37" s="98">
        <f>COUNTIF(AG$4:AG$31,"WT")</f>
        <v>0</v>
      </c>
      <c r="AH37" s="94"/>
      <c r="AI37" s="94"/>
      <c r="AJ37" s="98">
        <f>COUNTIF(AJ$4:AJ$31,"WT")</f>
        <v>0</v>
      </c>
      <c r="AK37" s="98"/>
      <c r="AL37" s="98"/>
      <c r="AM37" s="98">
        <f>COUNTIF(AM$4:AM$31,"WT")</f>
        <v>0</v>
      </c>
      <c r="AN37" s="91"/>
      <c r="AO37" s="91"/>
      <c r="AP37" s="98">
        <f>COUNTIF(AP$4:AP$31,"WT")</f>
        <v>0</v>
      </c>
      <c r="AQ37" s="91"/>
      <c r="AR37" s="91"/>
      <c r="AS37" s="91"/>
      <c r="AT37" s="98">
        <f>COUNTIF(AT$4:AT$31,"WT")</f>
        <v>0</v>
      </c>
      <c r="AU37" s="98"/>
      <c r="AV37" s="98"/>
      <c r="AW37" s="98"/>
      <c r="AX37" s="97" t="s">
        <v>78</v>
      </c>
      <c r="AY37" s="98">
        <f>COUNTIF(AY$4:AY$31,"WT")</f>
        <v>0</v>
      </c>
      <c r="AZ37" s="98"/>
      <c r="BA37" s="98"/>
      <c r="BB37" s="98">
        <f>COUNTIF(BB$4:BB$31,"WT")</f>
        <v>0</v>
      </c>
      <c r="BC37" s="91"/>
      <c r="BD37" s="91"/>
      <c r="BE37" s="98">
        <f>COUNTIF(BE$4:BE$31,"WT")</f>
        <v>0</v>
      </c>
      <c r="BF37" s="94"/>
      <c r="BG37" s="94"/>
      <c r="BH37" s="98">
        <f>COUNTIF(BH$4:BH$31,"WT")</f>
        <v>0</v>
      </c>
      <c r="BI37" s="98"/>
      <c r="BJ37" s="98"/>
      <c r="BK37" s="98">
        <f>COUNTIF(BK$4:BK$31,"WT")</f>
        <v>0</v>
      </c>
      <c r="BL37" s="91"/>
      <c r="BM37" s="91"/>
      <c r="BN37" s="98">
        <f>COUNTIF(BN$4:BN$31,"WT")</f>
        <v>0</v>
      </c>
      <c r="BO37" s="91"/>
      <c r="BP37" s="91"/>
      <c r="BQ37" s="91"/>
      <c r="BR37" s="98">
        <f>COUNTIF(BR$4:BR$31,"WT")</f>
        <v>0</v>
      </c>
      <c r="BS37" s="91"/>
      <c r="BT37" s="98"/>
      <c r="BU37" s="98"/>
      <c r="BV37" s="97" t="s">
        <v>78</v>
      </c>
      <c r="BW37" s="98">
        <f>COUNTIF(BW$4:BW$31,"WT")</f>
        <v>0</v>
      </c>
      <c r="BX37" s="98"/>
      <c r="BY37" s="98"/>
      <c r="BZ37" s="98">
        <f>COUNTIF(BZ$4:BZ$31,"WT")</f>
        <v>0</v>
      </c>
      <c r="CA37" s="91"/>
      <c r="CB37" s="91"/>
      <c r="CC37" s="98">
        <f>COUNTIF(CC$4:CC$31,"WT")</f>
        <v>0</v>
      </c>
      <c r="CD37" s="94"/>
      <c r="CE37" s="94"/>
      <c r="CF37" s="98">
        <f>COUNTIF(CF$4:CF$31,"WT")</f>
        <v>0</v>
      </c>
      <c r="CG37" s="98"/>
      <c r="CH37" s="98"/>
      <c r="CI37" s="98">
        <f>COUNTIF(CI$4:CI$31,"WT")</f>
        <v>0</v>
      </c>
      <c r="CJ37" s="91"/>
      <c r="CK37" s="91"/>
      <c r="CL37" s="98">
        <f>COUNTIF(CL$4:CL$31,"WT")</f>
        <v>0</v>
      </c>
      <c r="CM37" s="91"/>
      <c r="CN37" s="91"/>
      <c r="CO37" s="91"/>
      <c r="CP37" s="98">
        <f>COUNTIF(CP$4:CP$31,"WT")</f>
        <v>0</v>
      </c>
      <c r="CQ37" s="91"/>
      <c r="CR37" s="98"/>
      <c r="CS37" s="98"/>
      <c r="CT37" s="97" t="s">
        <v>78</v>
      </c>
      <c r="CU37" s="98">
        <f>COUNTIF(CU$4:CU$31,"WT")</f>
        <v>0</v>
      </c>
      <c r="CV37" s="98"/>
      <c r="CW37" s="98"/>
      <c r="CX37" s="98">
        <f>COUNTIF(CX$4:CX$31,"WT")</f>
        <v>0</v>
      </c>
      <c r="CY37" s="91"/>
      <c r="CZ37" s="91"/>
      <c r="DA37" s="98">
        <f>COUNTIF(DA$4:DA$31,"WT")</f>
        <v>0</v>
      </c>
      <c r="DB37" s="94"/>
      <c r="DC37" s="94"/>
      <c r="DD37" s="98">
        <f>COUNTIF(DD$4:DD$31,"WT")</f>
        <v>0</v>
      </c>
      <c r="DE37" s="98"/>
      <c r="DF37" s="98"/>
      <c r="DG37" s="98">
        <f>COUNTIF(DG$4:DG$31,"WT")</f>
        <v>0</v>
      </c>
      <c r="DH37" s="91"/>
      <c r="DI37" s="91"/>
      <c r="DJ37" s="98">
        <f>COUNTIF(DJ$4:DJ$31,"WT")</f>
        <v>0</v>
      </c>
      <c r="DK37" s="91"/>
      <c r="DL37" s="91"/>
      <c r="DM37" s="91"/>
      <c r="DN37" s="98">
        <f>COUNTIF(DN$4:DN$31,"WT")</f>
        <v>0</v>
      </c>
      <c r="DO37" s="91"/>
      <c r="DP37" s="98"/>
      <c r="DQ37" s="98"/>
      <c r="DR37" s="97" t="s">
        <v>78</v>
      </c>
      <c r="DS37" s="98">
        <f>COUNTIF(DS$4:DS$31,"WT")</f>
        <v>0</v>
      </c>
      <c r="DT37" s="98"/>
      <c r="DU37" s="98"/>
      <c r="DV37" s="98">
        <f>COUNTIF(DV$4:DV$31,"WT")</f>
        <v>0</v>
      </c>
      <c r="DW37" s="91"/>
      <c r="DX37" s="91"/>
      <c r="DY37" s="98">
        <f>COUNTIF(DY$4:DY$31,"WT")</f>
        <v>0</v>
      </c>
      <c r="DZ37" s="94"/>
      <c r="EA37" s="94"/>
      <c r="EB37" s="98">
        <f>COUNTIF(EB$4:EB$31,"WT")</f>
        <v>0</v>
      </c>
      <c r="EC37" s="98"/>
      <c r="ED37" s="98"/>
      <c r="EE37" s="98">
        <f>COUNTIF(EE$4:EE$31,"WT")</f>
        <v>0</v>
      </c>
      <c r="EF37" s="91"/>
      <c r="EG37" s="91"/>
      <c r="EH37" s="98">
        <f>COUNTIF(EH$4:EH$31,"WT")</f>
        <v>0</v>
      </c>
      <c r="EI37" s="91"/>
      <c r="EJ37" s="91"/>
      <c r="EK37" s="91"/>
      <c r="EL37" s="98">
        <f>COUNTIF(EL$4:EL$31,"WT")</f>
        <v>0</v>
      </c>
      <c r="EM37" s="91"/>
      <c r="EN37" s="98"/>
      <c r="EO37" s="98"/>
      <c r="EP37" s="97" t="s">
        <v>78</v>
      </c>
      <c r="EQ37" s="98">
        <f>COUNTIF(EQ$4:EQ$31,"WT")</f>
        <v>0</v>
      </c>
      <c r="ER37" s="98"/>
      <c r="ES37" s="98"/>
      <c r="ET37" s="98">
        <f>COUNTIF(ET$4:ET$31,"WT")</f>
        <v>0</v>
      </c>
      <c r="EU37" s="91"/>
      <c r="EV37" s="91"/>
      <c r="EW37" s="98">
        <f>COUNTIF(EW$4:EW$31,"WT")</f>
        <v>0</v>
      </c>
      <c r="EX37" s="94"/>
      <c r="EY37" s="94"/>
      <c r="EZ37" s="98">
        <f>COUNTIF(EZ$4:EZ$31,"WT")</f>
        <v>0</v>
      </c>
      <c r="FA37" s="98"/>
      <c r="FB37" s="98"/>
      <c r="FC37" s="98">
        <f>COUNTIF(FC$4:FC$31,"WT")</f>
        <v>0</v>
      </c>
      <c r="FD37" s="91"/>
      <c r="FE37" s="91"/>
      <c r="FF37" s="98">
        <f>COUNTIF(FF$4:FF$31,"WT")</f>
        <v>0</v>
      </c>
      <c r="FG37" s="91"/>
      <c r="FH37" s="91"/>
      <c r="FI37" s="91"/>
      <c r="FJ37" s="98">
        <f>COUNTIF(FJ$4:FJ$31,"WT")</f>
        <v>0</v>
      </c>
      <c r="FK37" s="91"/>
      <c r="FL37" s="98"/>
      <c r="FM37" s="98"/>
      <c r="FN37" s="97" t="s">
        <v>78</v>
      </c>
      <c r="FO37" s="98">
        <f>COUNTIF(FO$4:FO$31,"WT")</f>
        <v>0</v>
      </c>
      <c r="FP37" s="98"/>
      <c r="FQ37" s="98"/>
      <c r="FR37" s="98">
        <f>COUNTIF(FR$4:FR$31,"WT")</f>
        <v>0</v>
      </c>
      <c r="FS37" s="91"/>
      <c r="FT37" s="91"/>
      <c r="FU37" s="98">
        <f>COUNTIF(FU$4:FU$31,"WT")</f>
        <v>0</v>
      </c>
      <c r="FV37" s="94"/>
      <c r="FW37" s="94"/>
      <c r="FX37" s="98">
        <f>COUNTIF(FX$4:FX$31,"WT")</f>
        <v>0</v>
      </c>
      <c r="FY37" s="98"/>
      <c r="FZ37" s="98"/>
      <c r="GA37" s="98">
        <f>COUNTIF(GA$4:GA$31,"WT")</f>
        <v>0</v>
      </c>
      <c r="GB37" s="91"/>
      <c r="GC37" s="91"/>
      <c r="GD37" s="98">
        <f>COUNTIF(GD$4:GD$31,"WT")</f>
        <v>0</v>
      </c>
      <c r="GE37" s="91"/>
      <c r="GF37" s="91"/>
      <c r="GG37" s="91"/>
      <c r="GH37" s="98">
        <f>COUNTIF(GH$4:GH$31,"WT")</f>
        <v>0</v>
      </c>
      <c r="GI37" s="91"/>
      <c r="GJ37" s="98"/>
      <c r="GK37" s="98"/>
      <c r="GL37" s="97" t="s">
        <v>78</v>
      </c>
      <c r="GM37" s="98">
        <f>COUNTIF(GM$4:GM$31,"WT")</f>
        <v>0</v>
      </c>
      <c r="GN37" s="98"/>
      <c r="GO37" s="98"/>
      <c r="GP37" s="98">
        <f>COUNTIF(GP$4:GP$31,"WT")</f>
        <v>0</v>
      </c>
      <c r="GQ37" s="91"/>
      <c r="GR37" s="91"/>
      <c r="GS37" s="98">
        <f>COUNTIF(GS$4:GS$31,"WT")</f>
        <v>0</v>
      </c>
      <c r="GT37" s="94"/>
      <c r="GU37" s="94"/>
      <c r="GV37" s="91"/>
      <c r="GW37" s="98">
        <f>COUNTIF(GW$4:GW$31,"WT")</f>
        <v>0</v>
      </c>
      <c r="GX37" s="91"/>
      <c r="GY37" s="98"/>
      <c r="GZ37" s="98"/>
      <c r="HA37" s="97" t="s">
        <v>78</v>
      </c>
      <c r="HB37" s="98">
        <f>COUNTIF(HB$4:HB$31,"WT")</f>
        <v>0</v>
      </c>
      <c r="HC37" s="98"/>
      <c r="HD37" s="98"/>
      <c r="HE37" s="98">
        <f>COUNTIF(HE$4:HE$31,"WT")</f>
        <v>0</v>
      </c>
      <c r="HF37" s="91"/>
      <c r="HG37" s="91"/>
      <c r="HH37" s="98">
        <f>COUNTIF(HH$4:HH$31,"WT")</f>
        <v>0</v>
      </c>
      <c r="HI37" s="94"/>
      <c r="HJ37" s="94"/>
      <c r="HK37" s="91"/>
      <c r="HL37" s="98">
        <f>COUNTIF(HL$4:HL$31,"WT")</f>
        <v>0</v>
      </c>
      <c r="HM37" s="91"/>
      <c r="HN37" s="91"/>
      <c r="HO37" s="98"/>
      <c r="HP37" s="97" t="s">
        <v>78</v>
      </c>
      <c r="HQ37" s="98">
        <f>COUNTIF(HQ$4:HQ$31,"WT")</f>
        <v>0</v>
      </c>
      <c r="HR37" s="98"/>
      <c r="HS37" s="98"/>
      <c r="HT37" s="98">
        <f>COUNTIF(HT$4:HT$31,"WT")</f>
        <v>0</v>
      </c>
      <c r="HU37" s="91"/>
      <c r="HV37" s="91"/>
      <c r="HW37" s="98">
        <f>COUNTIF(HW$4:HW$31,"WT")</f>
        <v>0</v>
      </c>
      <c r="HX37" s="94"/>
      <c r="HY37" s="94"/>
      <c r="HZ37" s="91"/>
      <c r="IA37" s="98">
        <f>COUNTIF(IA$4:IA$31,"WT")</f>
        <v>0</v>
      </c>
      <c r="IB37" s="91"/>
      <c r="IC37" s="91"/>
    </row>
    <row r="38">
      <c r="B38" s="102" t="s">
        <v>79</v>
      </c>
      <c r="C38" s="100" t="str">
        <f>iferror(C37/C32,"")</f>
        <v/>
      </c>
      <c r="D38" s="100"/>
      <c r="E38" s="100"/>
      <c r="F38" s="100" t="str">
        <f>iferror(F37/F32,"")</f>
        <v/>
      </c>
      <c r="G38" s="101"/>
      <c r="H38" s="101"/>
      <c r="I38" s="100" t="str">
        <f>iferror(I37/I32,"")</f>
        <v/>
      </c>
      <c r="J38" s="102"/>
      <c r="K38" s="102"/>
      <c r="L38" s="100" t="str">
        <f>iferror(L37/L32,"")</f>
        <v/>
      </c>
      <c r="M38" s="100"/>
      <c r="N38" s="100"/>
      <c r="O38" s="100" t="str">
        <f>iferror(O37/O32,"")</f>
        <v/>
      </c>
      <c r="P38" s="101"/>
      <c r="Q38" s="101"/>
      <c r="R38" s="100" t="str">
        <f>iferror(R37/R32,"")</f>
        <v/>
      </c>
      <c r="S38" s="101"/>
      <c r="T38" s="101"/>
      <c r="U38" s="101"/>
      <c r="V38" s="100" t="str">
        <f>iferror(V37/V32,"")</f>
        <v/>
      </c>
      <c r="W38" s="100"/>
      <c r="X38" s="101"/>
      <c r="Y38" s="101"/>
      <c r="Z38" s="102" t="s">
        <v>79</v>
      </c>
      <c r="AA38" s="100" t="str">
        <f>iferror(AA37/AA32,"")</f>
        <v/>
      </c>
      <c r="AB38" s="100"/>
      <c r="AC38" s="100"/>
      <c r="AD38" s="100" t="str">
        <f>iferror(AD37/AD32,"")</f>
        <v/>
      </c>
      <c r="AE38" s="101"/>
      <c r="AF38" s="101"/>
      <c r="AG38" s="100" t="str">
        <f>iferror(AG37/AG32,"")</f>
        <v/>
      </c>
      <c r="AH38" s="102"/>
      <c r="AI38" s="102"/>
      <c r="AJ38" s="100" t="str">
        <f>iferror(AJ37/AJ32,"")</f>
        <v/>
      </c>
      <c r="AK38" s="100"/>
      <c r="AL38" s="100"/>
      <c r="AM38" s="100" t="str">
        <f>iferror(AM37/AM32,"")</f>
        <v/>
      </c>
      <c r="AN38" s="101"/>
      <c r="AO38" s="101"/>
      <c r="AP38" s="100" t="str">
        <f>iferror(AP37/AP32,"")</f>
        <v/>
      </c>
      <c r="AQ38" s="101"/>
      <c r="AR38" s="101"/>
      <c r="AS38" s="101"/>
      <c r="AT38" s="100" t="str">
        <f>iferror(AT37/AT32,"")</f>
        <v/>
      </c>
      <c r="AU38" s="100"/>
      <c r="AV38" s="100"/>
      <c r="AW38" s="101"/>
      <c r="AX38" s="102" t="s">
        <v>79</v>
      </c>
      <c r="AY38" s="100" t="str">
        <f>iferror(AY37/AY32,"")</f>
        <v/>
      </c>
      <c r="AZ38" s="100"/>
      <c r="BA38" s="100"/>
      <c r="BB38" s="100" t="str">
        <f>iferror(BB37/BB32,"")</f>
        <v/>
      </c>
      <c r="BC38" s="101"/>
      <c r="BD38" s="101"/>
      <c r="BE38" s="100" t="str">
        <f>iferror(BE37/BE32,"")</f>
        <v/>
      </c>
      <c r="BF38" s="102"/>
      <c r="BG38" s="102"/>
      <c r="BH38" s="100" t="str">
        <f>iferror(BH37/BH32,"")</f>
        <v/>
      </c>
      <c r="BI38" s="100"/>
      <c r="BJ38" s="100"/>
      <c r="BK38" s="100" t="str">
        <f>iferror(BK37/BK32,"")</f>
        <v/>
      </c>
      <c r="BL38" s="101"/>
      <c r="BM38" s="101"/>
      <c r="BN38" s="100" t="str">
        <f>iferror(BN37/BN32,"")</f>
        <v/>
      </c>
      <c r="BO38" s="101"/>
      <c r="BP38" s="101"/>
      <c r="BQ38" s="101"/>
      <c r="BR38" s="100" t="str">
        <f>iferror(BR37/BR32,"")</f>
        <v/>
      </c>
      <c r="BS38" s="101"/>
      <c r="BT38" s="100"/>
      <c r="BU38" s="101"/>
      <c r="BV38" s="102" t="s">
        <v>79</v>
      </c>
      <c r="BW38" s="100" t="str">
        <f>iferror(BW37/BW32,"")</f>
        <v/>
      </c>
      <c r="BX38" s="100"/>
      <c r="BY38" s="100"/>
      <c r="BZ38" s="100" t="str">
        <f>iferror(BZ37/BZ32,"")</f>
        <v/>
      </c>
      <c r="CA38" s="101"/>
      <c r="CB38" s="101"/>
      <c r="CC38" s="100" t="str">
        <f>iferror(CC37/CC32,"")</f>
        <v/>
      </c>
      <c r="CD38" s="102"/>
      <c r="CE38" s="102"/>
      <c r="CF38" s="100" t="str">
        <f>iferror(CF37/CF32,"")</f>
        <v/>
      </c>
      <c r="CG38" s="100"/>
      <c r="CH38" s="100"/>
      <c r="CI38" s="100" t="str">
        <f>iferror(CI37/CI32,"")</f>
        <v/>
      </c>
      <c r="CJ38" s="101"/>
      <c r="CK38" s="101"/>
      <c r="CL38" s="100" t="str">
        <f>iferror(CL37/CL32,"")</f>
        <v/>
      </c>
      <c r="CM38" s="101"/>
      <c r="CN38" s="101"/>
      <c r="CO38" s="101"/>
      <c r="CP38" s="100" t="str">
        <f>iferror(CP37/CP32,"")</f>
        <v/>
      </c>
      <c r="CQ38" s="101"/>
      <c r="CR38" s="100"/>
      <c r="CS38" s="101"/>
      <c r="CT38" s="102" t="s">
        <v>79</v>
      </c>
      <c r="CU38" s="100" t="str">
        <f>iferror(CU37/CU32,"")</f>
        <v/>
      </c>
      <c r="CV38" s="100"/>
      <c r="CW38" s="100"/>
      <c r="CX38" s="100" t="str">
        <f>iferror(CX37/CX32,"")</f>
        <v/>
      </c>
      <c r="CY38" s="101"/>
      <c r="CZ38" s="101"/>
      <c r="DA38" s="100" t="str">
        <f>iferror(DA37/DA32,"")</f>
        <v/>
      </c>
      <c r="DB38" s="102"/>
      <c r="DC38" s="102"/>
      <c r="DD38" s="100" t="str">
        <f>iferror(DD37/DD32,"")</f>
        <v/>
      </c>
      <c r="DE38" s="100"/>
      <c r="DF38" s="100"/>
      <c r="DG38" s="100" t="str">
        <f>iferror(DG37/DG32,"")</f>
        <v/>
      </c>
      <c r="DH38" s="101"/>
      <c r="DI38" s="101"/>
      <c r="DJ38" s="100" t="str">
        <f>iferror(DJ37/DJ32,"")</f>
        <v/>
      </c>
      <c r="DK38" s="101"/>
      <c r="DL38" s="101"/>
      <c r="DM38" s="101"/>
      <c r="DN38" s="100" t="str">
        <f>iferror(DN37/DN32,"")</f>
        <v/>
      </c>
      <c r="DO38" s="101"/>
      <c r="DP38" s="100"/>
      <c r="DQ38" s="101"/>
      <c r="DR38" s="102" t="s">
        <v>79</v>
      </c>
      <c r="DS38" s="100" t="str">
        <f>iferror(DS37/DS32,"")</f>
        <v/>
      </c>
      <c r="DT38" s="100"/>
      <c r="DU38" s="100"/>
      <c r="DV38" s="100" t="str">
        <f>iferror(DV37/DV32,"")</f>
        <v/>
      </c>
      <c r="DW38" s="101"/>
      <c r="DX38" s="101"/>
      <c r="DY38" s="100" t="str">
        <f>iferror(DY37/DY32,"")</f>
        <v/>
      </c>
      <c r="DZ38" s="102"/>
      <c r="EA38" s="102"/>
      <c r="EB38" s="100" t="str">
        <f>iferror(EB37/EB32,"")</f>
        <v/>
      </c>
      <c r="EC38" s="100"/>
      <c r="ED38" s="100"/>
      <c r="EE38" s="100" t="str">
        <f>iferror(EE37/EE32,"")</f>
        <v/>
      </c>
      <c r="EF38" s="101"/>
      <c r="EG38" s="101"/>
      <c r="EH38" s="100" t="str">
        <f>iferror(EH37/EH32,"")</f>
        <v/>
      </c>
      <c r="EI38" s="101"/>
      <c r="EJ38" s="101"/>
      <c r="EK38" s="101"/>
      <c r="EL38" s="100" t="str">
        <f>iferror(EL37/EL32,"")</f>
        <v/>
      </c>
      <c r="EM38" s="101"/>
      <c r="EN38" s="100"/>
      <c r="EO38" s="101"/>
      <c r="EP38" s="102" t="s">
        <v>79</v>
      </c>
      <c r="EQ38" s="100" t="str">
        <f>iferror(EQ37/EQ32,"")</f>
        <v/>
      </c>
      <c r="ER38" s="100"/>
      <c r="ES38" s="100"/>
      <c r="ET38" s="100" t="str">
        <f>iferror(ET37/ET32,"")</f>
        <v/>
      </c>
      <c r="EU38" s="101"/>
      <c r="EV38" s="101"/>
      <c r="EW38" s="100" t="str">
        <f>iferror(EW37/EW32,"")</f>
        <v/>
      </c>
      <c r="EX38" s="102"/>
      <c r="EY38" s="102"/>
      <c r="EZ38" s="100" t="str">
        <f>iferror(EZ37/EZ32,"")</f>
        <v/>
      </c>
      <c r="FA38" s="100"/>
      <c r="FB38" s="100"/>
      <c r="FC38" s="100" t="str">
        <f>iferror(FC37/FC32,"")</f>
        <v/>
      </c>
      <c r="FD38" s="101"/>
      <c r="FE38" s="101"/>
      <c r="FF38" s="100" t="str">
        <f>iferror(FF37/FF32,"")</f>
        <v/>
      </c>
      <c r="FG38" s="101"/>
      <c r="FH38" s="101"/>
      <c r="FI38" s="101"/>
      <c r="FJ38" s="100" t="str">
        <f>iferror(FJ37/FJ32,"")</f>
        <v/>
      </c>
      <c r="FK38" s="101"/>
      <c r="FL38" s="100"/>
      <c r="FM38" s="101"/>
      <c r="FN38" s="102" t="s">
        <v>79</v>
      </c>
      <c r="FO38" s="100" t="str">
        <f>iferror(FO37/FO32,"")</f>
        <v/>
      </c>
      <c r="FP38" s="100"/>
      <c r="FQ38" s="100"/>
      <c r="FR38" s="100" t="str">
        <f>iferror(FR37/FR32,"")</f>
        <v/>
      </c>
      <c r="FS38" s="101"/>
      <c r="FT38" s="101"/>
      <c r="FU38" s="100" t="str">
        <f>iferror(FU37/FU32,"")</f>
        <v/>
      </c>
      <c r="FV38" s="102"/>
      <c r="FW38" s="102"/>
      <c r="FX38" s="100" t="str">
        <f>iferror(FX37/FX32,"")</f>
        <v/>
      </c>
      <c r="FY38" s="100"/>
      <c r="FZ38" s="100"/>
      <c r="GA38" s="100" t="str">
        <f>iferror(GA37/GA32,"")</f>
        <v/>
      </c>
      <c r="GB38" s="101"/>
      <c r="GC38" s="101"/>
      <c r="GD38" s="100" t="str">
        <f>iferror(GD37/GD32,"")</f>
        <v/>
      </c>
      <c r="GE38" s="101"/>
      <c r="GF38" s="101"/>
      <c r="GG38" s="101"/>
      <c r="GH38" s="100" t="str">
        <f>iferror(GH37/GH32,"")</f>
        <v/>
      </c>
      <c r="GI38" s="101"/>
      <c r="GJ38" s="100"/>
      <c r="GK38" s="101"/>
      <c r="GL38" s="102" t="s">
        <v>79</v>
      </c>
      <c r="GM38" s="100" t="str">
        <f>iferror(GM37/GM32,"")</f>
        <v/>
      </c>
      <c r="GN38" s="100"/>
      <c r="GO38" s="100"/>
      <c r="GP38" s="100" t="str">
        <f>iferror(GP37/GP32,"")</f>
        <v/>
      </c>
      <c r="GQ38" s="101"/>
      <c r="GR38" s="101"/>
      <c r="GS38" s="100" t="str">
        <f>iferror(GS37/GS32,"")</f>
        <v/>
      </c>
      <c r="GT38" s="102"/>
      <c r="GU38" s="102"/>
      <c r="GV38" s="101"/>
      <c r="GW38" s="100" t="str">
        <f>iferror(GW37/GW32,"")</f>
        <v/>
      </c>
      <c r="GX38" s="101"/>
      <c r="GY38" s="100"/>
      <c r="GZ38" s="101"/>
      <c r="HA38" s="102" t="s">
        <v>79</v>
      </c>
      <c r="HB38" s="100" t="str">
        <f>iferror(HB37/HB32,"")</f>
        <v/>
      </c>
      <c r="HC38" s="100"/>
      <c r="HD38" s="100"/>
      <c r="HE38" s="100" t="str">
        <f>iferror(HE37/HE32,"")</f>
        <v/>
      </c>
      <c r="HF38" s="101"/>
      <c r="HG38" s="101"/>
      <c r="HH38" s="100" t="str">
        <f>iferror(HH37/HH32,"")</f>
        <v/>
      </c>
      <c r="HI38" s="102"/>
      <c r="HJ38" s="102"/>
      <c r="HK38" s="101"/>
      <c r="HL38" s="100" t="str">
        <f>iferror(HL37/HL32,"")</f>
        <v/>
      </c>
      <c r="HM38" s="101"/>
      <c r="HN38" s="101"/>
      <c r="HO38" s="101"/>
      <c r="HP38" s="102" t="s">
        <v>79</v>
      </c>
      <c r="HQ38" s="100" t="str">
        <f>iferror(HQ37/HQ32,"")</f>
        <v/>
      </c>
      <c r="HR38" s="100"/>
      <c r="HS38" s="100"/>
      <c r="HT38" s="100" t="str">
        <f>iferror(HT37/HT32,"")</f>
        <v/>
      </c>
      <c r="HU38" s="101"/>
      <c r="HV38" s="101"/>
      <c r="HW38" s="100" t="str">
        <f>iferror(HW37/HW32,"")</f>
        <v/>
      </c>
      <c r="HX38" s="102"/>
      <c r="HY38" s="102"/>
      <c r="HZ38" s="101"/>
      <c r="IA38" s="100" t="str">
        <f>iferror(IA37/IA32,"")</f>
        <v/>
      </c>
      <c r="IB38" s="101"/>
      <c r="IC38" s="101"/>
    </row>
    <row r="39">
      <c r="A39" s="91"/>
      <c r="B39" s="97" t="s">
        <v>80</v>
      </c>
      <c r="C39" s="98">
        <f>COUNTIF(C$4:C$31,"WA")</f>
        <v>0</v>
      </c>
      <c r="D39" s="98"/>
      <c r="E39" s="98"/>
      <c r="F39" s="98">
        <f>COUNTIF(F$4:F$31,"WA")</f>
        <v>0</v>
      </c>
      <c r="G39" s="91"/>
      <c r="H39" s="91"/>
      <c r="I39" s="98">
        <f>COUNTIF(I$4:I$31,"WA")</f>
        <v>0</v>
      </c>
      <c r="J39" s="94"/>
      <c r="K39" s="94"/>
      <c r="L39" s="98">
        <f>COUNTIF(L$4:L$31,"WA")</f>
        <v>0</v>
      </c>
      <c r="M39" s="98"/>
      <c r="N39" s="98"/>
      <c r="O39" s="98">
        <f>COUNTIF(O$4:O$31,"WA")</f>
        <v>0</v>
      </c>
      <c r="P39" s="91"/>
      <c r="Q39" s="91"/>
      <c r="R39" s="98">
        <f>COUNTIF(R$4:R$31,"WA")</f>
        <v>0</v>
      </c>
      <c r="S39" s="91"/>
      <c r="T39" s="91"/>
      <c r="U39" s="91"/>
      <c r="V39" s="98">
        <f>COUNTIF(V$4:V$31,"WA")</f>
        <v>0</v>
      </c>
      <c r="W39" s="98"/>
      <c r="X39" s="91"/>
      <c r="Y39" s="98"/>
      <c r="Z39" s="97" t="s">
        <v>80</v>
      </c>
      <c r="AA39" s="98">
        <f>COUNTIF(AA$4:AA$31,"WA")</f>
        <v>0</v>
      </c>
      <c r="AB39" s="98"/>
      <c r="AC39" s="98"/>
      <c r="AD39" s="98">
        <f>COUNTIF(AD$4:AD$31,"WA")</f>
        <v>0</v>
      </c>
      <c r="AE39" s="91"/>
      <c r="AF39" s="91"/>
      <c r="AG39" s="98">
        <f>COUNTIF(AG$4:AG$31,"WA")</f>
        <v>0</v>
      </c>
      <c r="AH39" s="94"/>
      <c r="AI39" s="94"/>
      <c r="AJ39" s="98">
        <f>COUNTIF(AJ$4:AJ$31,"WA")</f>
        <v>0</v>
      </c>
      <c r="AK39" s="98"/>
      <c r="AL39" s="98"/>
      <c r="AM39" s="98">
        <f>COUNTIF(AM$4:AM$31,"WA")</f>
        <v>0</v>
      </c>
      <c r="AN39" s="91"/>
      <c r="AO39" s="91"/>
      <c r="AP39" s="98">
        <f>COUNTIF(AP$4:AP$31,"WA")</f>
        <v>0</v>
      </c>
      <c r="AQ39" s="91"/>
      <c r="AR39" s="91"/>
      <c r="AS39" s="91"/>
      <c r="AT39" s="98">
        <f>COUNTIF(AT$4:AT$31,"WA")</f>
        <v>0</v>
      </c>
      <c r="AU39" s="98"/>
      <c r="AV39" s="98"/>
      <c r="AW39" s="98"/>
      <c r="AX39" s="97" t="s">
        <v>80</v>
      </c>
      <c r="AY39" s="98">
        <f>COUNTIF(AY$4:AY$31,"WA")</f>
        <v>0</v>
      </c>
      <c r="AZ39" s="98"/>
      <c r="BA39" s="98"/>
      <c r="BB39" s="98">
        <f>COUNTIF(BB$4:BB$31,"WA")</f>
        <v>0</v>
      </c>
      <c r="BC39" s="91"/>
      <c r="BD39" s="91"/>
      <c r="BE39" s="98">
        <f>COUNTIF(BE$4:BE$31,"WA")</f>
        <v>0</v>
      </c>
      <c r="BF39" s="94"/>
      <c r="BG39" s="94"/>
      <c r="BH39" s="98">
        <f>COUNTIF(BH$4:BH$31,"WA")</f>
        <v>0</v>
      </c>
      <c r="BI39" s="98"/>
      <c r="BJ39" s="98"/>
      <c r="BK39" s="98">
        <f>COUNTIF(BK$4:BK$31,"WA")</f>
        <v>0</v>
      </c>
      <c r="BL39" s="91"/>
      <c r="BM39" s="91"/>
      <c r="BN39" s="98">
        <f>COUNTIF(BN$4:BN$31,"WA")</f>
        <v>0</v>
      </c>
      <c r="BO39" s="91"/>
      <c r="BP39" s="91"/>
      <c r="BQ39" s="91"/>
      <c r="BR39" s="98">
        <f>COUNTIF(BR$4:BR$31,"WA")</f>
        <v>0</v>
      </c>
      <c r="BS39" s="91"/>
      <c r="BT39" s="98"/>
      <c r="BU39" s="98"/>
      <c r="BV39" s="97" t="s">
        <v>80</v>
      </c>
      <c r="BW39" s="98">
        <f>COUNTIF(BW$4:BW$31,"WA")</f>
        <v>0</v>
      </c>
      <c r="BX39" s="98"/>
      <c r="BY39" s="98"/>
      <c r="BZ39" s="98">
        <f>COUNTIF(BZ$4:BZ$31,"WA")</f>
        <v>0</v>
      </c>
      <c r="CA39" s="91"/>
      <c r="CB39" s="91"/>
      <c r="CC39" s="98">
        <f>COUNTIF(CC$4:CC$31,"WA")</f>
        <v>0</v>
      </c>
      <c r="CD39" s="94"/>
      <c r="CE39" s="94"/>
      <c r="CF39" s="98">
        <f>COUNTIF(CF$4:CF$31,"WA")</f>
        <v>0</v>
      </c>
      <c r="CG39" s="98"/>
      <c r="CH39" s="98"/>
      <c r="CI39" s="98">
        <f>COUNTIF(CI$4:CI$31,"WA")</f>
        <v>0</v>
      </c>
      <c r="CJ39" s="91"/>
      <c r="CK39" s="91"/>
      <c r="CL39" s="98">
        <f>COUNTIF(CL$4:CL$31,"WA")</f>
        <v>0</v>
      </c>
      <c r="CM39" s="91"/>
      <c r="CN39" s="91"/>
      <c r="CO39" s="91"/>
      <c r="CP39" s="98">
        <f>COUNTIF(CP$4:CP$31,"WA")</f>
        <v>0</v>
      </c>
      <c r="CQ39" s="91"/>
      <c r="CR39" s="98"/>
      <c r="CS39" s="98"/>
      <c r="CT39" s="97" t="s">
        <v>80</v>
      </c>
      <c r="CU39" s="98">
        <f>COUNTIF(CU$4:CU$31,"WA")</f>
        <v>0</v>
      </c>
      <c r="CV39" s="98"/>
      <c r="CW39" s="98"/>
      <c r="CX39" s="98">
        <f>COUNTIF(CX$4:CX$31,"WA")</f>
        <v>0</v>
      </c>
      <c r="CY39" s="91"/>
      <c r="CZ39" s="91"/>
      <c r="DA39" s="98">
        <f>COUNTIF(DA$4:DA$31,"WA")</f>
        <v>0</v>
      </c>
      <c r="DB39" s="94"/>
      <c r="DC39" s="94"/>
      <c r="DD39" s="98">
        <f>COUNTIF(DD$4:DD$31,"WA")</f>
        <v>0</v>
      </c>
      <c r="DE39" s="98"/>
      <c r="DF39" s="98"/>
      <c r="DG39" s="98">
        <f>COUNTIF(DG$4:DG$31,"WA")</f>
        <v>0</v>
      </c>
      <c r="DH39" s="91"/>
      <c r="DI39" s="91"/>
      <c r="DJ39" s="98">
        <f>COUNTIF(DJ$4:DJ$31,"WA")</f>
        <v>0</v>
      </c>
      <c r="DK39" s="91"/>
      <c r="DL39" s="91"/>
      <c r="DM39" s="91"/>
      <c r="DN39" s="98">
        <f>COUNTIF(DN$4:DN$31,"WA")</f>
        <v>0</v>
      </c>
      <c r="DO39" s="91"/>
      <c r="DP39" s="98"/>
      <c r="DQ39" s="98"/>
      <c r="DR39" s="97" t="s">
        <v>80</v>
      </c>
      <c r="DS39" s="98">
        <f>COUNTIF(DS$4:DS$31,"WA")</f>
        <v>0</v>
      </c>
      <c r="DT39" s="98"/>
      <c r="DU39" s="98"/>
      <c r="DV39" s="98">
        <f>COUNTIF(DV$4:DV$31,"WA")</f>
        <v>0</v>
      </c>
      <c r="DW39" s="91"/>
      <c r="DX39" s="91"/>
      <c r="DY39" s="98">
        <f>COUNTIF(DY$4:DY$31,"WA")</f>
        <v>0</v>
      </c>
      <c r="DZ39" s="94"/>
      <c r="EA39" s="94"/>
      <c r="EB39" s="98">
        <f>COUNTIF(EB$4:EB$31,"WA")</f>
        <v>0</v>
      </c>
      <c r="EC39" s="98"/>
      <c r="ED39" s="98"/>
      <c r="EE39" s="98">
        <f>COUNTIF(EE$4:EE$31,"WA")</f>
        <v>0</v>
      </c>
      <c r="EF39" s="91"/>
      <c r="EG39" s="91"/>
      <c r="EH39" s="98">
        <f>COUNTIF(EH$4:EH$31,"WA")</f>
        <v>0</v>
      </c>
      <c r="EI39" s="91"/>
      <c r="EJ39" s="91"/>
      <c r="EK39" s="91"/>
      <c r="EL39" s="98">
        <f>COUNTIF(EL$4:EL$31,"WA")</f>
        <v>0</v>
      </c>
      <c r="EM39" s="91"/>
      <c r="EN39" s="98"/>
      <c r="EO39" s="98"/>
      <c r="EP39" s="97" t="s">
        <v>80</v>
      </c>
      <c r="EQ39" s="98">
        <f>COUNTIF(EQ$4:EQ$31,"WA")</f>
        <v>0</v>
      </c>
      <c r="ER39" s="98"/>
      <c r="ES39" s="98"/>
      <c r="ET39" s="98">
        <f>COUNTIF(ET$4:ET$31,"WA")</f>
        <v>0</v>
      </c>
      <c r="EU39" s="91"/>
      <c r="EV39" s="91"/>
      <c r="EW39" s="98">
        <f>COUNTIF(EW$4:EW$31,"WA")</f>
        <v>0</v>
      </c>
      <c r="EX39" s="94"/>
      <c r="EY39" s="94"/>
      <c r="EZ39" s="98">
        <f>COUNTIF(EZ$4:EZ$31,"WA")</f>
        <v>0</v>
      </c>
      <c r="FA39" s="98"/>
      <c r="FB39" s="98"/>
      <c r="FC39" s="98">
        <f>COUNTIF(FC$4:FC$31,"WA")</f>
        <v>0</v>
      </c>
      <c r="FD39" s="91"/>
      <c r="FE39" s="91"/>
      <c r="FF39" s="98">
        <f>COUNTIF(FF$4:FF$31,"WA")</f>
        <v>0</v>
      </c>
      <c r="FG39" s="91"/>
      <c r="FH39" s="91"/>
      <c r="FI39" s="91"/>
      <c r="FJ39" s="98">
        <f>COUNTIF(FJ$4:FJ$31,"WA")</f>
        <v>0</v>
      </c>
      <c r="FK39" s="91"/>
      <c r="FL39" s="98"/>
      <c r="FM39" s="98"/>
      <c r="FN39" s="97" t="s">
        <v>80</v>
      </c>
      <c r="FO39" s="98">
        <f>COUNTIF(FO$4:FO$31,"WA")</f>
        <v>0</v>
      </c>
      <c r="FP39" s="98"/>
      <c r="FQ39" s="98"/>
      <c r="FR39" s="98">
        <f>COUNTIF(FR$4:FR$31,"WA")</f>
        <v>0</v>
      </c>
      <c r="FS39" s="91"/>
      <c r="FT39" s="91"/>
      <c r="FU39" s="98">
        <f>COUNTIF(FU$4:FU$31,"WA")</f>
        <v>0</v>
      </c>
      <c r="FV39" s="94"/>
      <c r="FW39" s="94"/>
      <c r="FX39" s="98">
        <f>COUNTIF(FX$4:FX$31,"WA")</f>
        <v>0</v>
      </c>
      <c r="FY39" s="98"/>
      <c r="FZ39" s="98"/>
      <c r="GA39" s="98">
        <f>COUNTIF(GA$4:GA$31,"WA")</f>
        <v>0</v>
      </c>
      <c r="GB39" s="91"/>
      <c r="GC39" s="91"/>
      <c r="GD39" s="98">
        <f>COUNTIF(GD$4:GD$31,"WA")</f>
        <v>0</v>
      </c>
      <c r="GE39" s="91"/>
      <c r="GF39" s="91"/>
      <c r="GG39" s="91"/>
      <c r="GH39" s="98">
        <f>COUNTIF(GH$4:GH$31,"WA")</f>
        <v>0</v>
      </c>
      <c r="GI39" s="91"/>
      <c r="GJ39" s="98"/>
      <c r="GK39" s="98"/>
      <c r="GL39" s="97" t="s">
        <v>80</v>
      </c>
      <c r="GM39" s="98">
        <f>COUNTIF(GM$4:GM$31,"WA")</f>
        <v>0</v>
      </c>
      <c r="GN39" s="98"/>
      <c r="GO39" s="98"/>
      <c r="GP39" s="98">
        <f>COUNTIF(GP$4:GP$31,"WA")</f>
        <v>0</v>
      </c>
      <c r="GQ39" s="91"/>
      <c r="GR39" s="91"/>
      <c r="GS39" s="98">
        <f>COUNTIF(GS$4:GS$31,"WA")</f>
        <v>0</v>
      </c>
      <c r="GT39" s="94"/>
      <c r="GU39" s="94"/>
      <c r="GV39" s="91"/>
      <c r="GW39" s="98">
        <f>COUNTIF(GW$4:GW$31,"WA")</f>
        <v>0</v>
      </c>
      <c r="GX39" s="91"/>
      <c r="GY39" s="98"/>
      <c r="GZ39" s="98"/>
      <c r="HA39" s="97" t="s">
        <v>80</v>
      </c>
      <c r="HB39" s="98">
        <f>COUNTIF(HB$4:HB$31,"WA")</f>
        <v>0</v>
      </c>
      <c r="HC39" s="98"/>
      <c r="HD39" s="98"/>
      <c r="HE39" s="98">
        <f>COUNTIF(HE$4:HE$31,"WA")</f>
        <v>0</v>
      </c>
      <c r="HF39" s="91"/>
      <c r="HG39" s="91"/>
      <c r="HH39" s="98">
        <f>COUNTIF(HH$4:HH$31,"WA")</f>
        <v>0</v>
      </c>
      <c r="HI39" s="94"/>
      <c r="HJ39" s="94"/>
      <c r="HK39" s="91"/>
      <c r="HL39" s="98">
        <f>COUNTIF(HL$4:HL$31,"WA")</f>
        <v>0</v>
      </c>
      <c r="HM39" s="91"/>
      <c r="HN39" s="91"/>
      <c r="HO39" s="98"/>
      <c r="HP39" s="97" t="s">
        <v>80</v>
      </c>
      <c r="HQ39" s="98">
        <f>COUNTIF(HQ$4:HQ$31,"WA")</f>
        <v>0</v>
      </c>
      <c r="HR39" s="98"/>
      <c r="HS39" s="98"/>
      <c r="HT39" s="98">
        <f>COUNTIF(HT$4:HT$31,"WA")</f>
        <v>0</v>
      </c>
      <c r="HU39" s="91"/>
      <c r="HV39" s="91"/>
      <c r="HW39" s="98">
        <f>COUNTIF(HW$4:HW$31,"WA")</f>
        <v>0</v>
      </c>
      <c r="HX39" s="94"/>
      <c r="HY39" s="94"/>
      <c r="HZ39" s="91"/>
      <c r="IA39" s="98">
        <f>COUNTIF(IA$4:IA$31,"WA")</f>
        <v>0</v>
      </c>
      <c r="IB39" s="91"/>
      <c r="IC39" s="91"/>
    </row>
    <row r="40">
      <c r="A40" s="91"/>
      <c r="B40" s="102" t="s">
        <v>81</v>
      </c>
      <c r="C40" s="103" t="str">
        <f>iferror(C39/C32,"")</f>
        <v/>
      </c>
      <c r="D40" s="103"/>
      <c r="E40" s="103"/>
      <c r="F40" s="103" t="str">
        <f>iferror(F39/F32,"")</f>
        <v/>
      </c>
      <c r="G40" s="101"/>
      <c r="H40" s="101"/>
      <c r="I40" s="103" t="str">
        <f>iferror(I39/I32,"")</f>
        <v/>
      </c>
      <c r="J40" s="102"/>
      <c r="K40" s="102"/>
      <c r="L40" s="103" t="str">
        <f>iferror(L39/L32,"")</f>
        <v/>
      </c>
      <c r="M40" s="103"/>
      <c r="N40" s="103"/>
      <c r="O40" s="103" t="str">
        <f>iferror(O39/O32,"")</f>
        <v/>
      </c>
      <c r="P40" s="101"/>
      <c r="Q40" s="101"/>
      <c r="R40" s="103" t="str">
        <f>iferror(R39/R32,"")</f>
        <v/>
      </c>
      <c r="S40" s="101"/>
      <c r="T40" s="101"/>
      <c r="U40" s="101"/>
      <c r="V40" s="103" t="str">
        <f>iferror(V39/V32,"")</f>
        <v/>
      </c>
      <c r="W40" s="103"/>
      <c r="X40" s="101"/>
      <c r="Y40" s="101"/>
      <c r="Z40" s="102" t="s">
        <v>81</v>
      </c>
      <c r="AA40" s="103" t="str">
        <f>iferror(AA39/AA32,"")</f>
        <v/>
      </c>
      <c r="AB40" s="103"/>
      <c r="AC40" s="103"/>
      <c r="AD40" s="103" t="str">
        <f>iferror(AD39/AD32,"")</f>
        <v/>
      </c>
      <c r="AE40" s="101"/>
      <c r="AF40" s="101"/>
      <c r="AG40" s="103" t="str">
        <f>iferror(AG39/AG32,"")</f>
        <v/>
      </c>
      <c r="AH40" s="102"/>
      <c r="AI40" s="102"/>
      <c r="AJ40" s="103" t="str">
        <f>iferror(AJ39/AJ32,"")</f>
        <v/>
      </c>
      <c r="AK40" s="103"/>
      <c r="AL40" s="103"/>
      <c r="AM40" s="103" t="str">
        <f>iferror(AM39/AM32,"")</f>
        <v/>
      </c>
      <c r="AN40" s="101"/>
      <c r="AO40" s="101"/>
      <c r="AP40" s="103" t="str">
        <f>iferror(AP39/AP32,"")</f>
        <v/>
      </c>
      <c r="AQ40" s="101"/>
      <c r="AR40" s="101"/>
      <c r="AS40" s="101"/>
      <c r="AT40" s="103" t="str">
        <f>iferror(AT39/AT32,"")</f>
        <v/>
      </c>
      <c r="AU40" s="103"/>
      <c r="AV40" s="103"/>
      <c r="AW40" s="101"/>
      <c r="AX40" s="102" t="s">
        <v>81</v>
      </c>
      <c r="AY40" s="103" t="str">
        <f>iferror(AY39/AY32,"")</f>
        <v/>
      </c>
      <c r="AZ40" s="103"/>
      <c r="BA40" s="103"/>
      <c r="BB40" s="103" t="str">
        <f>iferror(BB39/BB32,"")</f>
        <v/>
      </c>
      <c r="BC40" s="101"/>
      <c r="BD40" s="101"/>
      <c r="BE40" s="103" t="str">
        <f>iferror(BE39/BE32,"")</f>
        <v/>
      </c>
      <c r="BF40" s="102"/>
      <c r="BG40" s="102"/>
      <c r="BH40" s="103" t="str">
        <f>iferror(BH39/BH32,"")</f>
        <v/>
      </c>
      <c r="BI40" s="103"/>
      <c r="BJ40" s="103"/>
      <c r="BK40" s="103" t="str">
        <f>iferror(BK39/BK32,"")</f>
        <v/>
      </c>
      <c r="BL40" s="101"/>
      <c r="BM40" s="101"/>
      <c r="BN40" s="103" t="str">
        <f>iferror(BN39/BN32,"")</f>
        <v/>
      </c>
      <c r="BO40" s="101"/>
      <c r="BP40" s="101"/>
      <c r="BQ40" s="101"/>
      <c r="BR40" s="103" t="str">
        <f>iferror(BR39/BR32,"")</f>
        <v/>
      </c>
      <c r="BS40" s="101"/>
      <c r="BT40" s="103"/>
      <c r="BU40" s="101"/>
      <c r="BV40" s="102" t="s">
        <v>81</v>
      </c>
      <c r="BW40" s="103" t="str">
        <f>iferror(BW39/BW32,"")</f>
        <v/>
      </c>
      <c r="BX40" s="103"/>
      <c r="BY40" s="103"/>
      <c r="BZ40" s="103" t="str">
        <f>iferror(BZ39/BZ32,"")</f>
        <v/>
      </c>
      <c r="CA40" s="101"/>
      <c r="CB40" s="101"/>
      <c r="CC40" s="103" t="str">
        <f>iferror(CC39/CC32,"")</f>
        <v/>
      </c>
      <c r="CD40" s="102"/>
      <c r="CE40" s="102"/>
      <c r="CF40" s="103" t="str">
        <f>iferror(CF39/CF32,"")</f>
        <v/>
      </c>
      <c r="CG40" s="103"/>
      <c r="CH40" s="103"/>
      <c r="CI40" s="103" t="str">
        <f>iferror(CI39/CI32,"")</f>
        <v/>
      </c>
      <c r="CJ40" s="101"/>
      <c r="CK40" s="101"/>
      <c r="CL40" s="103" t="str">
        <f>iferror(CL39/CL32,"")</f>
        <v/>
      </c>
      <c r="CM40" s="101"/>
      <c r="CN40" s="101"/>
      <c r="CO40" s="101"/>
      <c r="CP40" s="103" t="str">
        <f>iferror(CP39/CP32,"")</f>
        <v/>
      </c>
      <c r="CQ40" s="101"/>
      <c r="CR40" s="103"/>
      <c r="CS40" s="101"/>
      <c r="CT40" s="102" t="s">
        <v>81</v>
      </c>
      <c r="CU40" s="103" t="str">
        <f>iferror(CU39/CU32,"")</f>
        <v/>
      </c>
      <c r="CV40" s="103"/>
      <c r="CW40" s="103"/>
      <c r="CX40" s="103" t="str">
        <f>iferror(CX39/CX32,"")</f>
        <v/>
      </c>
      <c r="CY40" s="101"/>
      <c r="CZ40" s="101"/>
      <c r="DA40" s="103" t="str">
        <f>iferror(DA39/DA32,"")</f>
        <v/>
      </c>
      <c r="DB40" s="102"/>
      <c r="DC40" s="102"/>
      <c r="DD40" s="103" t="str">
        <f>iferror(DD39/DD32,"")</f>
        <v/>
      </c>
      <c r="DE40" s="103"/>
      <c r="DF40" s="103"/>
      <c r="DG40" s="103" t="str">
        <f>iferror(DG39/DG32,"")</f>
        <v/>
      </c>
      <c r="DH40" s="101"/>
      <c r="DI40" s="101"/>
      <c r="DJ40" s="103" t="str">
        <f>iferror(DJ39/DJ32,"")</f>
        <v/>
      </c>
      <c r="DK40" s="101"/>
      <c r="DL40" s="101"/>
      <c r="DM40" s="101"/>
      <c r="DN40" s="103" t="str">
        <f>iferror(DN39/DN32,"")</f>
        <v/>
      </c>
      <c r="DO40" s="101"/>
      <c r="DP40" s="103"/>
      <c r="DQ40" s="101"/>
      <c r="DR40" s="102" t="s">
        <v>81</v>
      </c>
      <c r="DS40" s="103" t="str">
        <f>iferror(DS39/DS32,"")</f>
        <v/>
      </c>
      <c r="DT40" s="103"/>
      <c r="DU40" s="103"/>
      <c r="DV40" s="103" t="str">
        <f>iferror(DV39/DV32,"")</f>
        <v/>
      </c>
      <c r="DW40" s="101"/>
      <c r="DX40" s="101"/>
      <c r="DY40" s="103" t="str">
        <f>iferror(DY39/DY32,"")</f>
        <v/>
      </c>
      <c r="DZ40" s="102"/>
      <c r="EA40" s="102"/>
      <c r="EB40" s="103" t="str">
        <f>iferror(EB39/EB32,"")</f>
        <v/>
      </c>
      <c r="EC40" s="103"/>
      <c r="ED40" s="103"/>
      <c r="EE40" s="103" t="str">
        <f>iferror(EE39/EE32,"")</f>
        <v/>
      </c>
      <c r="EF40" s="101"/>
      <c r="EG40" s="101"/>
      <c r="EH40" s="103" t="str">
        <f>iferror(EH39/EH32,"")</f>
        <v/>
      </c>
      <c r="EI40" s="101"/>
      <c r="EJ40" s="101"/>
      <c r="EK40" s="101"/>
      <c r="EL40" s="103" t="str">
        <f>iferror(EL39/EL32,"")</f>
        <v/>
      </c>
      <c r="EM40" s="101"/>
      <c r="EN40" s="103"/>
      <c r="EO40" s="101"/>
      <c r="EP40" s="102" t="s">
        <v>81</v>
      </c>
      <c r="EQ40" s="103" t="str">
        <f>iferror(EQ39/EQ32,"")</f>
        <v/>
      </c>
      <c r="ER40" s="103"/>
      <c r="ES40" s="103"/>
      <c r="ET40" s="103" t="str">
        <f>iferror(ET39/ET32,"")</f>
        <v/>
      </c>
      <c r="EU40" s="101"/>
      <c r="EV40" s="101"/>
      <c r="EW40" s="103" t="str">
        <f>iferror(EW39/EW32,"")</f>
        <v/>
      </c>
      <c r="EX40" s="102"/>
      <c r="EY40" s="102"/>
      <c r="EZ40" s="103" t="str">
        <f>iferror(EZ39/EZ32,"")</f>
        <v/>
      </c>
      <c r="FA40" s="103"/>
      <c r="FB40" s="103"/>
      <c r="FC40" s="103" t="str">
        <f>iferror(FC39/FC32,"")</f>
        <v/>
      </c>
      <c r="FD40" s="101"/>
      <c r="FE40" s="101"/>
      <c r="FF40" s="103" t="str">
        <f>iferror(FF39/FF32,"")</f>
        <v/>
      </c>
      <c r="FG40" s="101"/>
      <c r="FH40" s="101"/>
      <c r="FI40" s="101"/>
      <c r="FJ40" s="103" t="str">
        <f>iferror(FJ39/FJ32,"")</f>
        <v/>
      </c>
      <c r="FK40" s="101"/>
      <c r="FL40" s="103"/>
      <c r="FM40" s="101"/>
      <c r="FN40" s="102" t="s">
        <v>81</v>
      </c>
      <c r="FO40" s="103" t="str">
        <f>iferror(FO39/FO32,"")</f>
        <v/>
      </c>
      <c r="FP40" s="103"/>
      <c r="FQ40" s="103"/>
      <c r="FR40" s="103" t="str">
        <f>iferror(FR39/FR32,"")</f>
        <v/>
      </c>
      <c r="FS40" s="101"/>
      <c r="FT40" s="101"/>
      <c r="FU40" s="103" t="str">
        <f>iferror(FU39/FU32,"")</f>
        <v/>
      </c>
      <c r="FV40" s="102"/>
      <c r="FW40" s="102"/>
      <c r="FX40" s="103" t="str">
        <f>iferror(FX39/FX32,"")</f>
        <v/>
      </c>
      <c r="FY40" s="103"/>
      <c r="FZ40" s="103"/>
      <c r="GA40" s="103" t="str">
        <f>iferror(GA39/GA32,"")</f>
        <v/>
      </c>
      <c r="GB40" s="101"/>
      <c r="GC40" s="101"/>
      <c r="GD40" s="103" t="str">
        <f>iferror(GD39/GD32,"")</f>
        <v/>
      </c>
      <c r="GE40" s="101"/>
      <c r="GF40" s="101"/>
      <c r="GG40" s="101"/>
      <c r="GH40" s="103" t="str">
        <f>iferror(GH39/GH32,"")</f>
        <v/>
      </c>
      <c r="GI40" s="101"/>
      <c r="GJ40" s="103"/>
      <c r="GK40" s="101"/>
      <c r="GL40" s="102" t="s">
        <v>81</v>
      </c>
      <c r="GM40" s="103" t="str">
        <f>iferror(GM39/GM32,"")</f>
        <v/>
      </c>
      <c r="GN40" s="103"/>
      <c r="GO40" s="103"/>
      <c r="GP40" s="103" t="str">
        <f>iferror(GP39/GP32,"")</f>
        <v/>
      </c>
      <c r="GQ40" s="101"/>
      <c r="GR40" s="101"/>
      <c r="GS40" s="103" t="str">
        <f>iferror(GS39/GS32,"")</f>
        <v/>
      </c>
      <c r="GT40" s="102"/>
      <c r="GU40" s="102"/>
      <c r="GV40" s="101"/>
      <c r="GW40" s="103" t="str">
        <f>iferror(GW39/GW32,"")</f>
        <v/>
      </c>
      <c r="GX40" s="101"/>
      <c r="GY40" s="103"/>
      <c r="GZ40" s="101"/>
      <c r="HA40" s="102" t="s">
        <v>81</v>
      </c>
      <c r="HB40" s="103" t="str">
        <f>iferror(HB39/HB32,"")</f>
        <v/>
      </c>
      <c r="HC40" s="103"/>
      <c r="HD40" s="103"/>
      <c r="HE40" s="103" t="str">
        <f>iferror(HE39/HE32,"")</f>
        <v/>
      </c>
      <c r="HF40" s="101"/>
      <c r="HG40" s="101"/>
      <c r="HH40" s="103" t="str">
        <f>iferror(HH39/HH32,"")</f>
        <v/>
      </c>
      <c r="HI40" s="102"/>
      <c r="HJ40" s="102"/>
      <c r="HK40" s="101"/>
      <c r="HL40" s="103" t="str">
        <f>iferror(HL39/HL32,"")</f>
        <v/>
      </c>
      <c r="HM40" s="101"/>
      <c r="HN40" s="101"/>
      <c r="HO40" s="101"/>
      <c r="HP40" s="102" t="s">
        <v>81</v>
      </c>
      <c r="HQ40" s="103" t="str">
        <f>iferror(HQ39/HQ32,"")</f>
        <v/>
      </c>
      <c r="HR40" s="103"/>
      <c r="HS40" s="103"/>
      <c r="HT40" s="103" t="str">
        <f>iferror(HT39/HT32,"")</f>
        <v/>
      </c>
      <c r="HU40" s="101"/>
      <c r="HV40" s="101"/>
      <c r="HW40" s="103" t="str">
        <f>iferror(HW39/HW32,"")</f>
        <v/>
      </c>
      <c r="HX40" s="102"/>
      <c r="HY40" s="102"/>
      <c r="HZ40" s="101"/>
      <c r="IA40" s="103" t="str">
        <f>iferror(IA39/IA32,"")</f>
        <v/>
      </c>
      <c r="IB40" s="101"/>
      <c r="IC40" s="101"/>
    </row>
    <row r="41">
      <c r="A41" s="91"/>
      <c r="B41" s="97" t="s">
        <v>82</v>
      </c>
      <c r="C41" s="98">
        <f>COUNTIF(C4:C31,"Exc")</f>
        <v>0</v>
      </c>
      <c r="D41" s="98"/>
      <c r="E41" s="98"/>
      <c r="F41" s="98">
        <f>COUNTIF(F4:F31,"Exc")</f>
        <v>0</v>
      </c>
      <c r="G41" s="91"/>
      <c r="H41" s="91"/>
      <c r="I41" s="98">
        <f>COUNTIF(I4:I31,"Exc")</f>
        <v>0</v>
      </c>
      <c r="J41" s="94"/>
      <c r="K41" s="94"/>
      <c r="L41" s="98">
        <f>COUNTIF(L4:L31,"Exc")</f>
        <v>0</v>
      </c>
      <c r="M41" s="98"/>
      <c r="N41" s="98">
        <f>COUNTIF(N$4:N$31,"Exc")</f>
        <v>0</v>
      </c>
      <c r="O41" s="98">
        <f>COUNTIF(O4:O31,"Exc")</f>
        <v>0</v>
      </c>
      <c r="P41" s="91"/>
      <c r="Q41" s="91"/>
      <c r="R41" s="98">
        <f>COUNTIF(R4:R31,"Exc")</f>
        <v>0</v>
      </c>
      <c r="S41" s="91"/>
      <c r="T41" s="91"/>
      <c r="U41" s="91"/>
      <c r="V41" s="98">
        <f>COUNTIF(V4:V31,"Exc")</f>
        <v>0</v>
      </c>
      <c r="W41" s="98"/>
      <c r="X41" s="91"/>
      <c r="Y41" s="98"/>
      <c r="Z41" s="97" t="s">
        <v>82</v>
      </c>
      <c r="AA41" s="98">
        <f>COUNTIF(AA4:AA31,"Exc")</f>
        <v>0</v>
      </c>
      <c r="AB41" s="98"/>
      <c r="AC41" s="98"/>
      <c r="AD41" s="98">
        <f>COUNTIF(AD4:AD31,"Exc")</f>
        <v>0</v>
      </c>
      <c r="AE41" s="91"/>
      <c r="AF41" s="91"/>
      <c r="AG41" s="98">
        <f>COUNTIF(AG4:AG31,"Exc")</f>
        <v>0</v>
      </c>
      <c r="AH41" s="94"/>
      <c r="AI41" s="94"/>
      <c r="AJ41" s="98">
        <f>COUNTIF(AJ4:AJ31,"Exc")</f>
        <v>0</v>
      </c>
      <c r="AK41" s="98"/>
      <c r="AL41" s="98">
        <f>COUNTIF(AL$4:AL$31,"Exc")</f>
        <v>0</v>
      </c>
      <c r="AM41" s="98">
        <f>COUNTIF(AM4:AM31,"Exc")</f>
        <v>0</v>
      </c>
      <c r="AN41" s="91"/>
      <c r="AO41" s="91"/>
      <c r="AP41" s="98">
        <f>COUNTIF(AP4:AP31,"Exc")</f>
        <v>0</v>
      </c>
      <c r="AQ41" s="91"/>
      <c r="AR41" s="91"/>
      <c r="AS41" s="91"/>
      <c r="AT41" s="98">
        <f>COUNTIF(AT4:AT31,"Exc")</f>
        <v>0</v>
      </c>
      <c r="AU41" s="98"/>
      <c r="AV41" s="98"/>
      <c r="AW41" s="98"/>
      <c r="AX41" s="97" t="s">
        <v>82</v>
      </c>
      <c r="AY41" s="98">
        <f>COUNTIF(AY4:AY31,"Exc")</f>
        <v>0</v>
      </c>
      <c r="AZ41" s="98"/>
      <c r="BA41" s="98"/>
      <c r="BB41" s="98">
        <f>COUNTIF(BB4:BB31,"Exc")</f>
        <v>0</v>
      </c>
      <c r="BC41" s="91"/>
      <c r="BD41" s="91"/>
      <c r="BE41" s="98">
        <f>COUNTIF(BE4:BE31,"Exc")</f>
        <v>0</v>
      </c>
      <c r="BF41" s="94"/>
      <c r="BG41" s="94"/>
      <c r="BH41" s="98">
        <f>COUNTIF(BH4:BH31,"Exc")</f>
        <v>0</v>
      </c>
      <c r="BI41" s="98"/>
      <c r="BJ41" s="98">
        <f>COUNTIF(BJ$4:BJ$31,"Exc")</f>
        <v>0</v>
      </c>
      <c r="BK41" s="98">
        <f>COUNTIF(BK4:BK31,"Exc")</f>
        <v>0</v>
      </c>
      <c r="BL41" s="91"/>
      <c r="BM41" s="91"/>
      <c r="BN41" s="98">
        <f>COUNTIF(BN4:BN31,"Exc")</f>
        <v>0</v>
      </c>
      <c r="BO41" s="91"/>
      <c r="BP41" s="91"/>
      <c r="BQ41" s="91"/>
      <c r="BR41" s="98">
        <f>COUNTIF(BR4:BR31,"Exc")</f>
        <v>0</v>
      </c>
      <c r="BS41" s="91"/>
      <c r="BT41" s="98"/>
      <c r="BU41" s="98"/>
      <c r="BV41" s="97" t="s">
        <v>82</v>
      </c>
      <c r="BW41" s="98">
        <f>COUNTIF(BW4:BW31,"Exc")</f>
        <v>0</v>
      </c>
      <c r="BX41" s="98"/>
      <c r="BY41" s="98"/>
      <c r="BZ41" s="98">
        <f>COUNTIF(BZ4:BZ31,"Exc")</f>
        <v>0</v>
      </c>
      <c r="CA41" s="91"/>
      <c r="CB41" s="91"/>
      <c r="CC41" s="98">
        <f>COUNTIF(CC4:CC31,"Exc")</f>
        <v>0</v>
      </c>
      <c r="CD41" s="94"/>
      <c r="CE41" s="94"/>
      <c r="CF41" s="98">
        <f>COUNTIF(CF4:CF31,"Exc")</f>
        <v>0</v>
      </c>
      <c r="CG41" s="98"/>
      <c r="CH41" s="98">
        <f>COUNTIF(CH$4:CH$31,"Exc")</f>
        <v>0</v>
      </c>
      <c r="CI41" s="98">
        <f>COUNTIF(CI4:CI31,"Exc")</f>
        <v>0</v>
      </c>
      <c r="CJ41" s="91"/>
      <c r="CK41" s="91"/>
      <c r="CL41" s="98">
        <f>COUNTIF(CL4:CL31,"Exc")</f>
        <v>0</v>
      </c>
      <c r="CM41" s="91"/>
      <c r="CN41" s="91"/>
      <c r="CO41" s="91"/>
      <c r="CP41" s="98">
        <f>COUNTIF(CP4:CP31,"Exc")</f>
        <v>0</v>
      </c>
      <c r="CQ41" s="91"/>
      <c r="CR41" s="98"/>
      <c r="CS41" s="98"/>
      <c r="CT41" s="97" t="s">
        <v>82</v>
      </c>
      <c r="CU41" s="98">
        <f>COUNTIF(CU4:CU31,"Exc")</f>
        <v>0</v>
      </c>
      <c r="CV41" s="98"/>
      <c r="CW41" s="98"/>
      <c r="CX41" s="98">
        <f>COUNTIF(CX4:CX31,"Exc")</f>
        <v>0</v>
      </c>
      <c r="CY41" s="91"/>
      <c r="CZ41" s="91"/>
      <c r="DA41" s="98">
        <f>COUNTIF(DA4:DA31,"Exc")</f>
        <v>0</v>
      </c>
      <c r="DB41" s="94"/>
      <c r="DC41" s="94"/>
      <c r="DD41" s="98">
        <f>COUNTIF(DD4:DD31,"Exc")</f>
        <v>0</v>
      </c>
      <c r="DE41" s="98"/>
      <c r="DF41" s="98">
        <f>COUNTIF(DF$4:DF$31,"Exc")</f>
        <v>0</v>
      </c>
      <c r="DG41" s="98">
        <f>COUNTIF(DG4:DG31,"Exc")</f>
        <v>0</v>
      </c>
      <c r="DH41" s="91"/>
      <c r="DI41" s="91"/>
      <c r="DJ41" s="98">
        <f>COUNTIF(DJ4:DJ31,"Exc")</f>
        <v>0</v>
      </c>
      <c r="DK41" s="91"/>
      <c r="DL41" s="91"/>
      <c r="DM41" s="91"/>
      <c r="DN41" s="98">
        <f>COUNTIF(DN4:DN31,"Exc")</f>
        <v>0</v>
      </c>
      <c r="DO41" s="91"/>
      <c r="DP41" s="98"/>
      <c r="DQ41" s="98"/>
      <c r="DR41" s="97" t="s">
        <v>82</v>
      </c>
      <c r="DS41" s="98">
        <f>COUNTIF(DS4:DS31,"Exc")</f>
        <v>0</v>
      </c>
      <c r="DT41" s="98"/>
      <c r="DU41" s="98"/>
      <c r="DV41" s="98">
        <f>COUNTIF(DV4:DV31,"Exc")</f>
        <v>0</v>
      </c>
      <c r="DW41" s="91"/>
      <c r="DX41" s="91"/>
      <c r="DY41" s="98">
        <f>COUNTIF(DY4:DY31,"Exc")</f>
        <v>0</v>
      </c>
      <c r="DZ41" s="94"/>
      <c r="EA41" s="94"/>
      <c r="EB41" s="98">
        <f>COUNTIF(EB4:EB31,"Exc")</f>
        <v>0</v>
      </c>
      <c r="EC41" s="98"/>
      <c r="ED41" s="98">
        <f>COUNTIF(ED$4:ED$31,"Exc")</f>
        <v>0</v>
      </c>
      <c r="EE41" s="98">
        <f>COUNTIF(EE4:EE31,"Exc")</f>
        <v>0</v>
      </c>
      <c r="EF41" s="91"/>
      <c r="EG41" s="91"/>
      <c r="EH41" s="98">
        <f>COUNTIF(EH4:EH31,"Exc")</f>
        <v>0</v>
      </c>
      <c r="EI41" s="91"/>
      <c r="EJ41" s="91"/>
      <c r="EK41" s="91"/>
      <c r="EL41" s="98">
        <f>COUNTIF(EL4:EL31,"Exc")</f>
        <v>0</v>
      </c>
      <c r="EM41" s="91"/>
      <c r="EN41" s="98"/>
      <c r="EO41" s="98"/>
      <c r="EP41" s="97" t="s">
        <v>82</v>
      </c>
      <c r="EQ41" s="98">
        <f>COUNTIF(EQ4:EQ31,"Exc")</f>
        <v>0</v>
      </c>
      <c r="ER41" s="98"/>
      <c r="ES41" s="98"/>
      <c r="ET41" s="98">
        <f>COUNTIF(ET4:ET31,"Exc")</f>
        <v>0</v>
      </c>
      <c r="EU41" s="91"/>
      <c r="EV41" s="91"/>
      <c r="EW41" s="98">
        <f>COUNTIF(EW4:EW31,"Exc")</f>
        <v>0</v>
      </c>
      <c r="EX41" s="94"/>
      <c r="EY41" s="94"/>
      <c r="EZ41" s="98">
        <f>COUNTIF(EZ4:EZ31,"Exc")</f>
        <v>0</v>
      </c>
      <c r="FA41" s="98"/>
      <c r="FB41" s="98">
        <f>COUNTIF(FB$4:FB$31,"Exc")</f>
        <v>0</v>
      </c>
      <c r="FC41" s="98">
        <f>COUNTIF(FC4:FC31,"Exc")</f>
        <v>0</v>
      </c>
      <c r="FD41" s="91"/>
      <c r="FE41" s="91"/>
      <c r="FF41" s="98">
        <f>COUNTIF(FF4:FF31,"Exc")</f>
        <v>0</v>
      </c>
      <c r="FG41" s="91"/>
      <c r="FH41" s="91"/>
      <c r="FI41" s="91"/>
      <c r="FJ41" s="98">
        <f>COUNTIF(FJ4:FJ31,"Exc")</f>
        <v>0</v>
      </c>
      <c r="FK41" s="91"/>
      <c r="FL41" s="98"/>
      <c r="FM41" s="98"/>
      <c r="FN41" s="97" t="s">
        <v>82</v>
      </c>
      <c r="FO41" s="98">
        <f>COUNTIF(FO4:FO31,"Exc")</f>
        <v>0</v>
      </c>
      <c r="FP41" s="98"/>
      <c r="FQ41" s="98"/>
      <c r="FR41" s="98">
        <f>COUNTIF(FR4:FR31,"Exc")</f>
        <v>0</v>
      </c>
      <c r="FS41" s="91"/>
      <c r="FT41" s="91"/>
      <c r="FU41" s="98">
        <f>COUNTIF(FU4:FU31,"Exc")</f>
        <v>0</v>
      </c>
      <c r="FV41" s="94"/>
      <c r="FW41" s="94"/>
      <c r="FX41" s="98">
        <f>COUNTIF(FX4:FX31,"Exc")</f>
        <v>0</v>
      </c>
      <c r="FY41" s="98"/>
      <c r="FZ41" s="98">
        <f>COUNTIF(FZ$4:FZ$31,"Exc")</f>
        <v>0</v>
      </c>
      <c r="GA41" s="98">
        <f>COUNTIF(GA4:GA31,"Exc")</f>
        <v>0</v>
      </c>
      <c r="GB41" s="91"/>
      <c r="GC41" s="91"/>
      <c r="GD41" s="98">
        <f>COUNTIF(GD4:GD31,"Exc")</f>
        <v>0</v>
      </c>
      <c r="GE41" s="91"/>
      <c r="GF41" s="91"/>
      <c r="GG41" s="91"/>
      <c r="GH41" s="98">
        <f>COUNTIF(GH4:GH31,"Exc")</f>
        <v>0</v>
      </c>
      <c r="GI41" s="91"/>
      <c r="GJ41" s="98"/>
      <c r="GK41" s="98"/>
      <c r="GL41" s="97" t="s">
        <v>82</v>
      </c>
      <c r="GM41" s="98">
        <f>COUNTIF(GM4:GM31,"Exc")</f>
        <v>0</v>
      </c>
      <c r="GN41" s="98"/>
      <c r="GO41" s="98"/>
      <c r="GP41" s="98">
        <f>COUNTIF(GP4:GP31,"Exc")</f>
        <v>0</v>
      </c>
      <c r="GQ41" s="91"/>
      <c r="GR41" s="91"/>
      <c r="GS41" s="98">
        <f>COUNTIF(GS4:GS31,"Exc")</f>
        <v>0</v>
      </c>
      <c r="GT41" s="94"/>
      <c r="GU41" s="94"/>
      <c r="GV41" s="91"/>
      <c r="GW41" s="98">
        <f>COUNTIF(GW4:GW31,"Exc")</f>
        <v>0</v>
      </c>
      <c r="GX41" s="91"/>
      <c r="GY41" s="98"/>
      <c r="GZ41" s="98"/>
      <c r="HA41" s="97" t="s">
        <v>82</v>
      </c>
      <c r="HB41" s="98">
        <f>COUNTIF(HB4:HB31,"Exc")</f>
        <v>0</v>
      </c>
      <c r="HC41" s="98"/>
      <c r="HD41" s="98"/>
      <c r="HE41" s="98">
        <f>COUNTIF(HE4:HE31,"Exc")</f>
        <v>0</v>
      </c>
      <c r="HF41" s="91"/>
      <c r="HG41" s="91"/>
      <c r="HH41" s="98">
        <f>COUNTIF(HH4:HH31,"Exc")</f>
        <v>0</v>
      </c>
      <c r="HI41" s="94"/>
      <c r="HJ41" s="94"/>
      <c r="HK41" s="91"/>
      <c r="HL41" s="98">
        <f>COUNTIF(HL4:HL31,"Exc")</f>
        <v>0</v>
      </c>
      <c r="HM41" s="91"/>
      <c r="HN41" s="91"/>
      <c r="HO41" s="98"/>
      <c r="HP41" s="97" t="s">
        <v>82</v>
      </c>
      <c r="HQ41" s="98">
        <f>COUNTIF(HQ4:HQ31,"Exc")</f>
        <v>0</v>
      </c>
      <c r="HR41" s="98"/>
      <c r="HS41" s="98"/>
      <c r="HT41" s="98">
        <f>COUNTIF(HT4:HT31,"Exc")</f>
        <v>0</v>
      </c>
      <c r="HU41" s="91"/>
      <c r="HV41" s="91"/>
      <c r="HW41" s="98">
        <f>COUNTIF(HW4:HW31,"Exc")</f>
        <v>0</v>
      </c>
      <c r="HX41" s="94"/>
      <c r="HY41" s="94"/>
      <c r="HZ41" s="91"/>
      <c r="IA41" s="98">
        <f>COUNTIF(IA4:IA31,"Exc")</f>
        <v>0</v>
      </c>
      <c r="IB41" s="91"/>
      <c r="IC41" s="91"/>
    </row>
    <row r="42">
      <c r="A42" s="91"/>
      <c r="B42" s="104" t="s">
        <v>83</v>
      </c>
      <c r="C42" s="100" t="str">
        <f>iferror(C41/C32,"")</f>
        <v/>
      </c>
      <c r="D42" s="100"/>
      <c r="E42" s="100"/>
      <c r="F42" s="100" t="str">
        <f>iferror(F41/F32,"")</f>
        <v/>
      </c>
      <c r="G42" s="101"/>
      <c r="H42" s="101"/>
      <c r="I42" s="100" t="str">
        <f>iferror(I41/I32,"")</f>
        <v/>
      </c>
      <c r="J42" s="104"/>
      <c r="K42" s="104"/>
      <c r="L42" s="100" t="str">
        <f>iferror(L41/L32,"")</f>
        <v/>
      </c>
      <c r="M42" s="100"/>
      <c r="N42" s="100" t="str">
        <f>iferror(N$41/N$32,"")</f>
        <v/>
      </c>
      <c r="O42" s="100" t="str">
        <f>iferror(O41/O32,"")</f>
        <v/>
      </c>
      <c r="P42" s="101"/>
      <c r="Q42" s="101"/>
      <c r="R42" s="100" t="str">
        <f>iferror(R41/R32,"")</f>
        <v/>
      </c>
      <c r="S42" s="101"/>
      <c r="T42" s="101"/>
      <c r="U42" s="101"/>
      <c r="V42" s="100" t="str">
        <f>iferror(V41/V32,"")</f>
        <v/>
      </c>
      <c r="W42" s="100"/>
      <c r="X42" s="101"/>
      <c r="Y42" s="101"/>
      <c r="Z42" s="104" t="s">
        <v>83</v>
      </c>
      <c r="AA42" s="100" t="str">
        <f>iferror(AA41/AA32,"")</f>
        <v/>
      </c>
      <c r="AB42" s="100"/>
      <c r="AC42" s="100"/>
      <c r="AD42" s="100" t="str">
        <f>iferror(AD41/AD32,"")</f>
        <v/>
      </c>
      <c r="AE42" s="101"/>
      <c r="AF42" s="101"/>
      <c r="AG42" s="100" t="str">
        <f>iferror(AG41/AG32,"")</f>
        <v/>
      </c>
      <c r="AH42" s="104"/>
      <c r="AI42" s="104"/>
      <c r="AJ42" s="100" t="str">
        <f>iferror(AJ41/AJ32,"")</f>
        <v/>
      </c>
      <c r="AK42" s="100"/>
      <c r="AL42" s="100" t="str">
        <f>iferror(AL$41/AL$32,"")</f>
        <v/>
      </c>
      <c r="AM42" s="100" t="str">
        <f>iferror(AM41/AM32,"")</f>
        <v/>
      </c>
      <c r="AN42" s="101"/>
      <c r="AO42" s="101"/>
      <c r="AP42" s="100" t="str">
        <f>iferror(AP41/AP32,"")</f>
        <v/>
      </c>
      <c r="AQ42" s="101"/>
      <c r="AR42" s="101"/>
      <c r="AS42" s="101"/>
      <c r="AT42" s="100" t="str">
        <f>iferror(AT41/AT32,"")</f>
        <v/>
      </c>
      <c r="AU42" s="100"/>
      <c r="AV42" s="100"/>
      <c r="AW42" s="101"/>
      <c r="AX42" s="104" t="s">
        <v>83</v>
      </c>
      <c r="AY42" s="100" t="str">
        <f>iferror(AY41/AY32,"")</f>
        <v/>
      </c>
      <c r="AZ42" s="100"/>
      <c r="BA42" s="100"/>
      <c r="BB42" s="100" t="str">
        <f>iferror(BB41/BB32,"")</f>
        <v/>
      </c>
      <c r="BC42" s="101"/>
      <c r="BD42" s="101"/>
      <c r="BE42" s="100" t="str">
        <f>iferror(BE41/BE32,"")</f>
        <v/>
      </c>
      <c r="BF42" s="104"/>
      <c r="BG42" s="104"/>
      <c r="BH42" s="100" t="str">
        <f>iferror(BH41/BH32,"")</f>
        <v/>
      </c>
      <c r="BI42" s="100"/>
      <c r="BJ42" s="100" t="str">
        <f>iferror(BJ$41/BJ$32,"")</f>
        <v/>
      </c>
      <c r="BK42" s="100" t="str">
        <f>iferror(BK41/BK32,"")</f>
        <v/>
      </c>
      <c r="BL42" s="101"/>
      <c r="BM42" s="101"/>
      <c r="BN42" s="100" t="str">
        <f>iferror(BN41/BN32,"")</f>
        <v/>
      </c>
      <c r="BO42" s="101"/>
      <c r="BP42" s="101"/>
      <c r="BQ42" s="101"/>
      <c r="BR42" s="100" t="str">
        <f>iferror(BR41/BR32,"")</f>
        <v/>
      </c>
      <c r="BS42" s="101"/>
      <c r="BT42" s="100"/>
      <c r="BU42" s="101"/>
      <c r="BV42" s="104" t="s">
        <v>83</v>
      </c>
      <c r="BW42" s="100" t="str">
        <f>iferror(BW41/BW32,"")</f>
        <v/>
      </c>
      <c r="BX42" s="100"/>
      <c r="BY42" s="100"/>
      <c r="BZ42" s="100" t="str">
        <f>iferror(BZ41/BZ32,"")</f>
        <v/>
      </c>
      <c r="CA42" s="101"/>
      <c r="CB42" s="101"/>
      <c r="CC42" s="100" t="str">
        <f>iferror(CC41/CC32,"")</f>
        <v/>
      </c>
      <c r="CD42" s="104"/>
      <c r="CE42" s="104"/>
      <c r="CF42" s="100" t="str">
        <f>iferror(CF41/CF32,"")</f>
        <v/>
      </c>
      <c r="CG42" s="100"/>
      <c r="CH42" s="100" t="str">
        <f>iferror(CH$41/CH$32,"")</f>
        <v/>
      </c>
      <c r="CI42" s="100" t="str">
        <f>iferror(CI41/CI32,"")</f>
        <v/>
      </c>
      <c r="CJ42" s="101"/>
      <c r="CK42" s="101"/>
      <c r="CL42" s="100" t="str">
        <f>iferror(CL41/CL32,"")</f>
        <v/>
      </c>
      <c r="CM42" s="101"/>
      <c r="CN42" s="101"/>
      <c r="CO42" s="101"/>
      <c r="CP42" s="100" t="str">
        <f>iferror(CP41/CP32,"")</f>
        <v/>
      </c>
      <c r="CQ42" s="101"/>
      <c r="CR42" s="100"/>
      <c r="CS42" s="101"/>
      <c r="CT42" s="104" t="s">
        <v>83</v>
      </c>
      <c r="CU42" s="100" t="str">
        <f>iferror(CU41/CU32,"")</f>
        <v/>
      </c>
      <c r="CV42" s="100"/>
      <c r="CW42" s="100"/>
      <c r="CX42" s="100" t="str">
        <f>iferror(CX41/CX32,"")</f>
        <v/>
      </c>
      <c r="CY42" s="101"/>
      <c r="CZ42" s="101"/>
      <c r="DA42" s="100" t="str">
        <f>iferror(DA41/DA32,"")</f>
        <v/>
      </c>
      <c r="DB42" s="104"/>
      <c r="DC42" s="104"/>
      <c r="DD42" s="100" t="str">
        <f>iferror(DD41/DD32,"")</f>
        <v/>
      </c>
      <c r="DE42" s="100"/>
      <c r="DF42" s="100" t="str">
        <f>iferror(DF$41/DF$32,"")</f>
        <v/>
      </c>
      <c r="DG42" s="100" t="str">
        <f>iferror(DG41/DG32,"")</f>
        <v/>
      </c>
      <c r="DH42" s="101"/>
      <c r="DI42" s="101"/>
      <c r="DJ42" s="100" t="str">
        <f>iferror(DJ41/DJ32,"")</f>
        <v/>
      </c>
      <c r="DK42" s="101"/>
      <c r="DL42" s="101"/>
      <c r="DM42" s="101"/>
      <c r="DN42" s="100" t="str">
        <f>iferror(DN41/DN32,"")</f>
        <v/>
      </c>
      <c r="DO42" s="101"/>
      <c r="DP42" s="100"/>
      <c r="DQ42" s="101"/>
      <c r="DR42" s="104" t="s">
        <v>83</v>
      </c>
      <c r="DS42" s="100" t="str">
        <f>iferror(DS41/DS32,"")</f>
        <v/>
      </c>
      <c r="DT42" s="100"/>
      <c r="DU42" s="100"/>
      <c r="DV42" s="100" t="str">
        <f>iferror(DV41/DV32,"")</f>
        <v/>
      </c>
      <c r="DW42" s="101"/>
      <c r="DX42" s="101"/>
      <c r="DY42" s="100" t="str">
        <f>iferror(DY41/DY32,"")</f>
        <v/>
      </c>
      <c r="DZ42" s="104"/>
      <c r="EA42" s="104"/>
      <c r="EB42" s="100" t="str">
        <f>iferror(EB41/EB32,"")</f>
        <v/>
      </c>
      <c r="EC42" s="100"/>
      <c r="ED42" s="100" t="str">
        <f>iferror(ED$41/ED$32,"")</f>
        <v/>
      </c>
      <c r="EE42" s="100" t="str">
        <f>iferror(EE41/EE32,"")</f>
        <v/>
      </c>
      <c r="EF42" s="101"/>
      <c r="EG42" s="101"/>
      <c r="EH42" s="100" t="str">
        <f>iferror(EH41/EH32,"")</f>
        <v/>
      </c>
      <c r="EI42" s="101"/>
      <c r="EJ42" s="101"/>
      <c r="EK42" s="101"/>
      <c r="EL42" s="100" t="str">
        <f>iferror(EL41/EL32,"")</f>
        <v/>
      </c>
      <c r="EM42" s="101"/>
      <c r="EN42" s="100"/>
      <c r="EO42" s="101"/>
      <c r="EP42" s="104" t="s">
        <v>83</v>
      </c>
      <c r="EQ42" s="100" t="str">
        <f>iferror(EQ41/EQ32,"")</f>
        <v/>
      </c>
      <c r="ER42" s="100"/>
      <c r="ES42" s="100"/>
      <c r="ET42" s="100" t="str">
        <f>iferror(ET41/ET32,"")</f>
        <v/>
      </c>
      <c r="EU42" s="101"/>
      <c r="EV42" s="101"/>
      <c r="EW42" s="100" t="str">
        <f>iferror(EW41/EW32,"")</f>
        <v/>
      </c>
      <c r="EX42" s="104"/>
      <c r="EY42" s="104"/>
      <c r="EZ42" s="100" t="str">
        <f>iferror(EZ41/EZ32,"")</f>
        <v/>
      </c>
      <c r="FA42" s="100"/>
      <c r="FB42" s="100" t="str">
        <f>iferror(FB$41/FB$32,"")</f>
        <v/>
      </c>
      <c r="FC42" s="100" t="str">
        <f>iferror(FC41/FC32,"")</f>
        <v/>
      </c>
      <c r="FD42" s="101"/>
      <c r="FE42" s="101"/>
      <c r="FF42" s="100" t="str">
        <f>iferror(FF41/FF32,"")</f>
        <v/>
      </c>
      <c r="FG42" s="101"/>
      <c r="FH42" s="101"/>
      <c r="FI42" s="101"/>
      <c r="FJ42" s="100" t="str">
        <f>iferror(FJ41/FJ32,"")</f>
        <v/>
      </c>
      <c r="FK42" s="101"/>
      <c r="FL42" s="100"/>
      <c r="FM42" s="101"/>
      <c r="FN42" s="104" t="s">
        <v>83</v>
      </c>
      <c r="FO42" s="100" t="str">
        <f>iferror(FO41/FO32,"")</f>
        <v/>
      </c>
      <c r="FP42" s="100"/>
      <c r="FQ42" s="100"/>
      <c r="FR42" s="100" t="str">
        <f>iferror(FR41/FR32,"")</f>
        <v/>
      </c>
      <c r="FS42" s="101"/>
      <c r="FT42" s="101"/>
      <c r="FU42" s="100" t="str">
        <f>iferror(FU41/FU32,"")</f>
        <v/>
      </c>
      <c r="FV42" s="104"/>
      <c r="FW42" s="104"/>
      <c r="FX42" s="100" t="str">
        <f>iferror(FX41/FX32,"")</f>
        <v/>
      </c>
      <c r="FY42" s="100"/>
      <c r="FZ42" s="100" t="str">
        <f>iferror(FZ$41/FZ$32,"")</f>
        <v/>
      </c>
      <c r="GA42" s="100" t="str">
        <f>iferror(GA41/GA32,"")</f>
        <v/>
      </c>
      <c r="GB42" s="101"/>
      <c r="GC42" s="101"/>
      <c r="GD42" s="100" t="str">
        <f>iferror(GD41/GD32,"")</f>
        <v/>
      </c>
      <c r="GE42" s="101"/>
      <c r="GF42" s="101"/>
      <c r="GG42" s="101"/>
      <c r="GH42" s="100" t="str">
        <f>iferror(GH41/GH32,"")</f>
        <v/>
      </c>
      <c r="GI42" s="101"/>
      <c r="GJ42" s="100"/>
      <c r="GK42" s="101"/>
      <c r="GL42" s="104" t="s">
        <v>83</v>
      </c>
      <c r="GM42" s="100" t="str">
        <f>iferror(GM41/GM32,"")</f>
        <v/>
      </c>
      <c r="GN42" s="100"/>
      <c r="GO42" s="100"/>
      <c r="GP42" s="100" t="str">
        <f>iferror(GP41/GP32,"")</f>
        <v/>
      </c>
      <c r="GQ42" s="101"/>
      <c r="GR42" s="101"/>
      <c r="GS42" s="100" t="str">
        <f>iferror(GS41/GS32,"")</f>
        <v/>
      </c>
      <c r="GT42" s="104"/>
      <c r="GU42" s="104"/>
      <c r="GV42" s="101"/>
      <c r="GW42" s="100" t="str">
        <f>iferror(GW41/GW32,"")</f>
        <v/>
      </c>
      <c r="GX42" s="101"/>
      <c r="GY42" s="100"/>
      <c r="GZ42" s="101"/>
      <c r="HA42" s="104" t="s">
        <v>83</v>
      </c>
      <c r="HB42" s="100" t="str">
        <f>iferror(HB41/HB32,"")</f>
        <v/>
      </c>
      <c r="HC42" s="100"/>
      <c r="HD42" s="100"/>
      <c r="HE42" s="100" t="str">
        <f>iferror(HE41/HE32,"")</f>
        <v/>
      </c>
      <c r="HF42" s="101"/>
      <c r="HG42" s="101"/>
      <c r="HH42" s="100" t="str">
        <f>iferror(HH41/HH32,"")</f>
        <v/>
      </c>
      <c r="HI42" s="104"/>
      <c r="HJ42" s="104"/>
      <c r="HK42" s="101"/>
      <c r="HL42" s="100" t="str">
        <f>iferror(HL41/HL32,"")</f>
        <v/>
      </c>
      <c r="HM42" s="101"/>
      <c r="HN42" s="101"/>
      <c r="HO42" s="101"/>
      <c r="HP42" s="104" t="s">
        <v>83</v>
      </c>
      <c r="HQ42" s="100" t="str">
        <f>iferror(HQ41/HQ32,"")</f>
        <v/>
      </c>
      <c r="HR42" s="100"/>
      <c r="HS42" s="100"/>
      <c r="HT42" s="100" t="str">
        <f>iferror(HT41/HT32,"")</f>
        <v/>
      </c>
      <c r="HU42" s="101"/>
      <c r="HV42" s="101"/>
      <c r="HW42" s="100" t="str">
        <f>iferror(HW41/HW32,"")</f>
        <v/>
      </c>
      <c r="HX42" s="104"/>
      <c r="HY42" s="104"/>
      <c r="HZ42" s="101"/>
      <c r="IA42" s="100" t="str">
        <f>iferror(IA41/IA32,"")</f>
        <v/>
      </c>
      <c r="IB42" s="101"/>
      <c r="IC42" s="101"/>
    </row>
    <row r="43">
      <c r="A43" s="91"/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  <c r="AC43" s="91"/>
      <c r="AD43" s="91"/>
      <c r="AE43" s="91"/>
      <c r="AF43" s="91"/>
      <c r="AG43" s="91"/>
      <c r="AH43" s="91"/>
      <c r="AI43" s="91"/>
      <c r="AJ43" s="91"/>
      <c r="AK43" s="91"/>
      <c r="AL43" s="91"/>
      <c r="AM43" s="91"/>
      <c r="AN43" s="91"/>
      <c r="AO43" s="91"/>
      <c r="AP43" s="91"/>
      <c r="AQ43" s="91"/>
      <c r="AR43" s="91"/>
      <c r="AS43" s="91"/>
      <c r="AT43" s="91"/>
      <c r="AU43" s="91"/>
      <c r="AV43" s="91"/>
      <c r="AW43" s="91"/>
      <c r="AX43" s="91"/>
      <c r="AY43" s="91"/>
      <c r="AZ43" s="91"/>
      <c r="BA43" s="91"/>
      <c r="BB43" s="91"/>
      <c r="BC43" s="91"/>
      <c r="BD43" s="91"/>
      <c r="BE43" s="91"/>
      <c r="BF43" s="91"/>
      <c r="BG43" s="91"/>
      <c r="BH43" s="91"/>
      <c r="BI43" s="91"/>
      <c r="BJ43" s="91"/>
      <c r="BK43" s="91"/>
      <c r="BL43" s="91"/>
      <c r="BM43" s="91"/>
      <c r="BN43" s="91"/>
      <c r="BO43" s="91"/>
      <c r="BP43" s="91"/>
      <c r="BQ43" s="91"/>
      <c r="BR43" s="91"/>
      <c r="BS43" s="91"/>
      <c r="BT43" s="91"/>
      <c r="BU43" s="91"/>
      <c r="BV43" s="91"/>
      <c r="BW43" s="91"/>
      <c r="BX43" s="91"/>
      <c r="BY43" s="91"/>
      <c r="BZ43" s="91"/>
      <c r="CA43" s="91"/>
      <c r="CB43" s="91"/>
      <c r="CC43" s="91"/>
      <c r="CD43" s="91"/>
      <c r="CE43" s="91"/>
      <c r="CF43" s="91"/>
      <c r="CG43" s="91"/>
      <c r="CH43" s="91"/>
      <c r="CI43" s="91"/>
      <c r="CJ43" s="91"/>
      <c r="CK43" s="91"/>
      <c r="CL43" s="91"/>
      <c r="CM43" s="91"/>
      <c r="CN43" s="91"/>
      <c r="CO43" s="91"/>
      <c r="CP43" s="91"/>
      <c r="CQ43" s="91"/>
      <c r="CR43" s="91"/>
      <c r="CS43" s="91"/>
      <c r="CT43" s="91"/>
      <c r="CU43" s="91"/>
      <c r="CV43" s="91"/>
      <c r="CW43" s="91"/>
      <c r="CX43" s="91"/>
      <c r="CY43" s="91"/>
      <c r="CZ43" s="91"/>
      <c r="DA43" s="91"/>
      <c r="DB43" s="91"/>
      <c r="DC43" s="91"/>
      <c r="DD43" s="91"/>
      <c r="DE43" s="91"/>
      <c r="DF43" s="91"/>
      <c r="DG43" s="91"/>
      <c r="DH43" s="91"/>
      <c r="DI43" s="91"/>
      <c r="DJ43" s="91"/>
      <c r="DK43" s="91"/>
      <c r="DL43" s="91"/>
      <c r="DM43" s="91"/>
      <c r="DN43" s="91"/>
      <c r="DO43" s="91"/>
      <c r="DP43" s="91"/>
      <c r="DQ43" s="91"/>
      <c r="DR43" s="91"/>
      <c r="DS43" s="91"/>
      <c r="DT43" s="91"/>
      <c r="DU43" s="91"/>
      <c r="DV43" s="91"/>
      <c r="DW43" s="91"/>
      <c r="DX43" s="91"/>
      <c r="DY43" s="91"/>
      <c r="DZ43" s="91"/>
      <c r="EA43" s="91"/>
      <c r="EB43" s="91"/>
      <c r="EC43" s="91"/>
      <c r="ED43" s="91"/>
      <c r="EE43" s="91"/>
      <c r="EF43" s="91"/>
      <c r="EG43" s="91"/>
      <c r="EH43" s="91"/>
      <c r="EI43" s="91"/>
      <c r="EJ43" s="91"/>
      <c r="EK43" s="91"/>
      <c r="EL43" s="91"/>
      <c r="EM43" s="91"/>
      <c r="EN43" s="91"/>
      <c r="EO43" s="91"/>
      <c r="EP43" s="91"/>
      <c r="EQ43" s="91"/>
      <c r="ER43" s="91"/>
      <c r="ES43" s="91"/>
      <c r="ET43" s="91"/>
      <c r="EU43" s="91"/>
      <c r="EV43" s="91"/>
      <c r="EW43" s="91"/>
      <c r="EX43" s="91"/>
      <c r="EY43" s="91"/>
      <c r="EZ43" s="91"/>
      <c r="FA43" s="91"/>
      <c r="FB43" s="91"/>
      <c r="FC43" s="91"/>
      <c r="FD43" s="91"/>
      <c r="FE43" s="91"/>
      <c r="FF43" s="91"/>
      <c r="FG43" s="91"/>
      <c r="FH43" s="91"/>
      <c r="FI43" s="91"/>
      <c r="FJ43" s="91"/>
      <c r="FK43" s="91"/>
      <c r="FL43" s="91"/>
      <c r="FM43" s="91"/>
      <c r="FN43" s="91"/>
      <c r="FO43" s="91"/>
      <c r="FP43" s="91"/>
      <c r="FQ43" s="91"/>
      <c r="FR43" s="91"/>
      <c r="FS43" s="91"/>
      <c r="FT43" s="91"/>
      <c r="FU43" s="91"/>
      <c r="FV43" s="91"/>
      <c r="FW43" s="91"/>
      <c r="FX43" s="91"/>
      <c r="FY43" s="91"/>
      <c r="FZ43" s="91"/>
      <c r="GA43" s="91"/>
      <c r="GB43" s="91"/>
      <c r="GC43" s="91"/>
      <c r="GD43" s="91"/>
      <c r="GE43" s="91"/>
      <c r="GF43" s="91"/>
      <c r="GG43" s="91"/>
      <c r="GH43" s="91"/>
      <c r="GI43" s="91"/>
      <c r="GJ43" s="91"/>
      <c r="GK43" s="91"/>
      <c r="GL43" s="91"/>
      <c r="GM43" s="91"/>
      <c r="GN43" s="91"/>
      <c r="GO43" s="91"/>
      <c r="GP43" s="91"/>
      <c r="GQ43" s="91"/>
      <c r="GR43" s="91"/>
      <c r="GS43" s="91"/>
      <c r="GT43" s="91"/>
      <c r="GU43" s="91"/>
      <c r="GV43" s="91"/>
      <c r="GW43" s="91"/>
      <c r="GX43" s="91"/>
      <c r="GY43" s="91"/>
      <c r="GZ43" s="91"/>
      <c r="HA43" s="91"/>
      <c r="HB43" s="91"/>
      <c r="HC43" s="91"/>
      <c r="HD43" s="91"/>
      <c r="HE43" s="91"/>
      <c r="HF43" s="91"/>
      <c r="HG43" s="91"/>
      <c r="HH43" s="91"/>
      <c r="HI43" s="91"/>
      <c r="HJ43" s="91"/>
      <c r="HK43" s="91"/>
      <c r="HL43" s="91"/>
      <c r="HM43" s="91"/>
      <c r="HN43" s="91"/>
      <c r="HO43" s="91"/>
      <c r="HP43" s="91"/>
      <c r="HQ43" s="91"/>
      <c r="HR43" s="91"/>
      <c r="HS43" s="91"/>
      <c r="HT43" s="91"/>
      <c r="HU43" s="91"/>
      <c r="HV43" s="91"/>
      <c r="HW43" s="91"/>
      <c r="HX43" s="91"/>
      <c r="HY43" s="91"/>
      <c r="HZ43" s="91"/>
      <c r="IA43" s="91"/>
      <c r="IB43" s="91"/>
      <c r="IC43" s="91"/>
    </row>
    <row r="44">
      <c r="A44" s="91"/>
      <c r="B44" s="91"/>
      <c r="C44" s="91"/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  <c r="AC44" s="91"/>
      <c r="AD44" s="91"/>
      <c r="AE44" s="91"/>
      <c r="AF44" s="91"/>
      <c r="AG44" s="91"/>
      <c r="AH44" s="91"/>
      <c r="AI44" s="91"/>
      <c r="AJ44" s="91"/>
      <c r="AK44" s="91"/>
      <c r="AL44" s="91"/>
      <c r="AM44" s="91"/>
      <c r="AN44" s="91"/>
      <c r="AO44" s="91"/>
      <c r="AP44" s="91"/>
      <c r="AQ44" s="91"/>
      <c r="AR44" s="91"/>
      <c r="AS44" s="91"/>
      <c r="AT44" s="91"/>
      <c r="AU44" s="91"/>
      <c r="AV44" s="91"/>
      <c r="AW44" s="91"/>
      <c r="AX44" s="105"/>
      <c r="AY44" s="91"/>
      <c r="AZ44" s="91"/>
      <c r="BA44" s="91"/>
      <c r="BB44" s="91"/>
      <c r="BC44" s="91"/>
      <c r="BD44" s="91"/>
      <c r="BE44" s="91"/>
      <c r="BF44" s="91"/>
      <c r="BG44" s="91"/>
      <c r="BH44" s="91"/>
      <c r="BI44" s="91"/>
      <c r="BJ44" s="91"/>
      <c r="BK44" s="91"/>
      <c r="BL44" s="91"/>
      <c r="BM44" s="91"/>
      <c r="BN44" s="91"/>
      <c r="BO44" s="91"/>
      <c r="BP44" s="91"/>
      <c r="BQ44" s="91"/>
      <c r="BR44" s="91"/>
      <c r="BS44" s="91"/>
      <c r="BT44" s="91"/>
      <c r="BU44" s="91"/>
      <c r="BV44" s="105"/>
      <c r="BW44" s="91"/>
      <c r="BX44" s="91"/>
      <c r="BY44" s="91"/>
      <c r="BZ44" s="91"/>
      <c r="CA44" s="91"/>
      <c r="CB44" s="91"/>
      <c r="CC44" s="91"/>
      <c r="CD44" s="91"/>
      <c r="CE44" s="91"/>
      <c r="CF44" s="91"/>
      <c r="CG44" s="91"/>
      <c r="CH44" s="91"/>
      <c r="CI44" s="91"/>
      <c r="CJ44" s="91"/>
      <c r="CK44" s="91"/>
      <c r="CL44" s="91"/>
      <c r="CM44" s="91"/>
      <c r="CN44" s="91"/>
      <c r="CO44" s="91"/>
      <c r="CP44" s="91"/>
      <c r="CQ44" s="91"/>
      <c r="CR44" s="91"/>
      <c r="CS44" s="91"/>
      <c r="CT44" s="105"/>
      <c r="CU44" s="91"/>
      <c r="CV44" s="91"/>
      <c r="CW44" s="91"/>
      <c r="CX44" s="91"/>
      <c r="CY44" s="91"/>
      <c r="CZ44" s="91"/>
      <c r="DA44" s="91"/>
      <c r="DB44" s="91"/>
      <c r="DC44" s="91"/>
      <c r="DD44" s="91"/>
      <c r="DE44" s="91"/>
      <c r="DF44" s="91"/>
      <c r="DG44" s="91"/>
      <c r="DH44" s="91"/>
      <c r="DI44" s="91"/>
      <c r="DJ44" s="91"/>
      <c r="DK44" s="91"/>
      <c r="DL44" s="91"/>
      <c r="DM44" s="91"/>
      <c r="DN44" s="91"/>
      <c r="DO44" s="91"/>
      <c r="DP44" s="91"/>
      <c r="DQ44" s="91"/>
      <c r="DR44" s="105"/>
      <c r="DS44" s="91"/>
      <c r="DT44" s="91"/>
      <c r="DU44" s="91"/>
      <c r="DV44" s="91"/>
      <c r="DW44" s="91"/>
      <c r="DX44" s="91"/>
      <c r="DY44" s="91"/>
      <c r="DZ44" s="91"/>
      <c r="EA44" s="91"/>
      <c r="EB44" s="91"/>
      <c r="EC44" s="91"/>
      <c r="ED44" s="91"/>
      <c r="EE44" s="91"/>
      <c r="EF44" s="91"/>
      <c r="EG44" s="91"/>
      <c r="EH44" s="91"/>
      <c r="EI44" s="91"/>
      <c r="EJ44" s="91"/>
      <c r="EK44" s="91"/>
      <c r="EL44" s="91"/>
      <c r="EM44" s="91"/>
      <c r="EN44" s="91"/>
      <c r="EO44" s="91"/>
      <c r="EP44" s="105"/>
      <c r="EQ44" s="91"/>
      <c r="ER44" s="91"/>
      <c r="ES44" s="91"/>
      <c r="ET44" s="91"/>
      <c r="EU44" s="91"/>
      <c r="EV44" s="91"/>
      <c r="EW44" s="91"/>
      <c r="EX44" s="91"/>
      <c r="EY44" s="91"/>
      <c r="EZ44" s="91"/>
      <c r="FA44" s="91"/>
      <c r="FB44" s="91"/>
      <c r="FC44" s="91"/>
      <c r="FD44" s="91"/>
      <c r="FE44" s="91"/>
      <c r="FF44" s="91"/>
      <c r="FG44" s="91"/>
      <c r="FH44" s="91"/>
      <c r="FI44" s="91"/>
      <c r="FJ44" s="91"/>
      <c r="FK44" s="91"/>
      <c r="FL44" s="91"/>
      <c r="FM44" s="91"/>
      <c r="FN44" s="105"/>
      <c r="FO44" s="91"/>
      <c r="FP44" s="91"/>
      <c r="FQ44" s="91"/>
      <c r="FR44" s="91"/>
      <c r="FS44" s="91"/>
      <c r="FT44" s="91"/>
      <c r="FU44" s="91"/>
      <c r="FV44" s="91"/>
      <c r="FW44" s="91"/>
      <c r="FX44" s="91"/>
      <c r="FY44" s="91"/>
      <c r="FZ44" s="91"/>
      <c r="GA44" s="91"/>
      <c r="GB44" s="91"/>
      <c r="GC44" s="91"/>
      <c r="GD44" s="91"/>
      <c r="GE44" s="91"/>
      <c r="GF44" s="91"/>
      <c r="GG44" s="91"/>
      <c r="GH44" s="91"/>
      <c r="GI44" s="91"/>
      <c r="GJ44" s="91"/>
      <c r="GK44" s="91"/>
      <c r="GL44" s="105"/>
      <c r="GM44" s="91"/>
      <c r="GN44" s="91"/>
      <c r="GO44" s="91"/>
      <c r="GP44" s="91"/>
      <c r="GQ44" s="91"/>
      <c r="GR44" s="91"/>
      <c r="GS44" s="91"/>
      <c r="GT44" s="91"/>
      <c r="GU44" s="91"/>
      <c r="GV44" s="91"/>
      <c r="GW44" s="91"/>
      <c r="GX44" s="91"/>
      <c r="GY44" s="91"/>
      <c r="GZ44" s="91"/>
      <c r="HA44" s="105"/>
      <c r="HB44" s="91"/>
      <c r="HC44" s="91"/>
      <c r="HD44" s="91"/>
      <c r="HE44" s="91"/>
      <c r="HF44" s="91"/>
      <c r="HG44" s="91"/>
      <c r="HH44" s="91"/>
      <c r="HI44" s="91"/>
      <c r="HJ44" s="91"/>
      <c r="HK44" s="91"/>
      <c r="HL44" s="91"/>
      <c r="HM44" s="91"/>
      <c r="HN44" s="91"/>
      <c r="HO44" s="91"/>
      <c r="HP44" s="105"/>
      <c r="HQ44" s="91"/>
      <c r="HR44" s="91"/>
      <c r="HS44" s="91"/>
      <c r="HT44" s="91"/>
      <c r="HU44" s="91"/>
      <c r="HV44" s="91"/>
      <c r="HW44" s="91"/>
      <c r="HX44" s="91"/>
      <c r="HY44" s="91"/>
      <c r="HZ44" s="91"/>
      <c r="IA44" s="91"/>
      <c r="IB44" s="91"/>
      <c r="IC44" s="91"/>
    </row>
    <row r="45">
      <c r="B45" s="106" t="s">
        <v>84</v>
      </c>
      <c r="D45" s="101"/>
      <c r="E45" s="101"/>
      <c r="F45" s="101"/>
      <c r="G45" s="101"/>
      <c r="H45" s="101"/>
      <c r="I45" s="101"/>
      <c r="J45" s="91"/>
      <c r="K45" s="91"/>
      <c r="L45" s="106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91"/>
      <c r="Y45" s="101"/>
      <c r="Z45" s="106" t="s">
        <v>84</v>
      </c>
      <c r="AB45" s="101"/>
      <c r="AC45" s="101"/>
      <c r="AD45" s="101"/>
      <c r="AE45" s="101"/>
      <c r="AF45" s="101"/>
      <c r="AG45" s="101"/>
      <c r="AH45" s="91"/>
      <c r="AI45" s="91"/>
      <c r="AJ45" s="106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7" t="s">
        <v>84</v>
      </c>
      <c r="AZ45" s="101"/>
      <c r="BA45" s="101"/>
      <c r="BB45" s="101"/>
      <c r="BC45" s="101"/>
      <c r="BD45" s="101"/>
      <c r="BE45" s="101"/>
      <c r="BF45" s="91"/>
      <c r="BG45" s="91"/>
      <c r="BH45" s="106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7" t="s">
        <v>84</v>
      </c>
      <c r="BX45" s="101"/>
      <c r="BY45" s="101"/>
      <c r="BZ45" s="101"/>
      <c r="CA45" s="101"/>
      <c r="CB45" s="101"/>
      <c r="CC45" s="101"/>
      <c r="CD45" s="91"/>
      <c r="CE45" s="91"/>
      <c r="CF45" s="106"/>
      <c r="CG45" s="101"/>
      <c r="CH45" s="101"/>
      <c r="CI45" s="101"/>
      <c r="CJ45" s="101"/>
      <c r="CK45" s="101"/>
      <c r="CL45" s="101"/>
      <c r="CM45" s="101"/>
      <c r="CN45" s="101"/>
      <c r="CO45" s="101"/>
      <c r="CP45" s="101"/>
      <c r="CQ45" s="101"/>
      <c r="CR45" s="101"/>
      <c r="CS45" s="101"/>
      <c r="CT45" s="107" t="s">
        <v>84</v>
      </c>
      <c r="CV45" s="101"/>
      <c r="CW45" s="101"/>
      <c r="CX45" s="101"/>
      <c r="CY45" s="101"/>
      <c r="CZ45" s="101"/>
      <c r="DA45" s="101"/>
      <c r="DB45" s="91"/>
      <c r="DC45" s="91"/>
      <c r="DD45" s="106"/>
      <c r="DE45" s="101"/>
      <c r="DF45" s="101"/>
      <c r="DG45" s="101"/>
      <c r="DH45" s="101"/>
      <c r="DI45" s="101"/>
      <c r="DJ45" s="101"/>
      <c r="DK45" s="101"/>
      <c r="DL45" s="101"/>
      <c r="DM45" s="101"/>
      <c r="DN45" s="101"/>
      <c r="DO45" s="101"/>
      <c r="DP45" s="101"/>
      <c r="DQ45" s="101"/>
      <c r="DR45" s="107" t="s">
        <v>84</v>
      </c>
      <c r="DT45" s="101"/>
      <c r="DU45" s="101"/>
      <c r="DV45" s="101"/>
      <c r="DW45" s="101"/>
      <c r="DX45" s="101"/>
      <c r="DY45" s="101"/>
      <c r="DZ45" s="91"/>
      <c r="EA45" s="91"/>
      <c r="EB45" s="106"/>
      <c r="EC45" s="101"/>
      <c r="ED45" s="101"/>
      <c r="EE45" s="101"/>
      <c r="EF45" s="101"/>
      <c r="EG45" s="101"/>
      <c r="EH45" s="101"/>
      <c r="EI45" s="101"/>
      <c r="EJ45" s="101"/>
      <c r="EK45" s="101"/>
      <c r="EL45" s="101"/>
      <c r="EM45" s="101"/>
      <c r="EN45" s="101"/>
      <c r="EO45" s="101"/>
      <c r="EP45" s="107" t="s">
        <v>84</v>
      </c>
      <c r="ER45" s="101"/>
      <c r="ES45" s="101"/>
      <c r="ET45" s="101"/>
      <c r="EU45" s="101"/>
      <c r="EV45" s="101"/>
      <c r="EW45" s="101"/>
      <c r="EX45" s="91"/>
      <c r="EY45" s="91"/>
      <c r="EZ45" s="106"/>
      <c r="FA45" s="101"/>
      <c r="FB45" s="101"/>
      <c r="FC45" s="101"/>
      <c r="FD45" s="101"/>
      <c r="FE45" s="101"/>
      <c r="FF45" s="101"/>
      <c r="FG45" s="101"/>
      <c r="FH45" s="101"/>
      <c r="FI45" s="101"/>
      <c r="FJ45" s="101"/>
      <c r="FK45" s="101"/>
      <c r="FL45" s="101"/>
      <c r="FM45" s="101"/>
      <c r="FN45" s="107" t="s">
        <v>84</v>
      </c>
      <c r="FP45" s="101"/>
      <c r="FQ45" s="101"/>
      <c r="FR45" s="101"/>
      <c r="FS45" s="101"/>
      <c r="FT45" s="101"/>
      <c r="FU45" s="101"/>
      <c r="FV45" s="91"/>
      <c r="FW45" s="91"/>
      <c r="FX45" s="106"/>
      <c r="FY45" s="101"/>
      <c r="FZ45" s="101"/>
      <c r="GA45" s="101"/>
      <c r="GB45" s="101"/>
      <c r="GC45" s="101"/>
      <c r="GD45" s="101"/>
      <c r="GE45" s="101"/>
      <c r="GF45" s="101"/>
      <c r="GG45" s="101"/>
      <c r="GH45" s="101"/>
      <c r="GI45" s="101"/>
      <c r="GJ45" s="101"/>
      <c r="GK45" s="101"/>
      <c r="GL45" s="107" t="s">
        <v>84</v>
      </c>
      <c r="GN45" s="101"/>
      <c r="GO45" s="101"/>
      <c r="GP45" s="101"/>
      <c r="GQ45" s="101"/>
      <c r="GR45" s="101"/>
      <c r="GS45" s="101"/>
      <c r="GT45" s="91"/>
      <c r="GU45" s="91"/>
      <c r="GV45" s="101"/>
      <c r="GW45" s="101"/>
      <c r="GX45" s="101"/>
      <c r="GY45" s="101"/>
      <c r="GZ45" s="101"/>
      <c r="HA45" s="107" t="s">
        <v>84</v>
      </c>
      <c r="HC45" s="101"/>
      <c r="HD45" s="101"/>
      <c r="HE45" s="101"/>
      <c r="HF45" s="101"/>
      <c r="HG45" s="101"/>
      <c r="HH45" s="101"/>
      <c r="HI45" s="91"/>
      <c r="HJ45" s="91"/>
      <c r="HK45" s="101"/>
      <c r="HL45" s="101"/>
      <c r="HM45" s="101"/>
      <c r="HN45" s="101"/>
      <c r="HO45" s="101"/>
      <c r="HP45" s="107" t="s">
        <v>84</v>
      </c>
      <c r="HR45" s="101"/>
      <c r="HS45" s="101"/>
      <c r="HT45" s="101"/>
      <c r="HU45" s="101"/>
      <c r="HV45" s="101"/>
      <c r="HW45" s="101"/>
      <c r="HX45" s="91"/>
      <c r="HY45" s="91"/>
      <c r="HZ45" s="101"/>
      <c r="IA45" s="101"/>
      <c r="IB45" s="101"/>
      <c r="IC45" s="101"/>
    </row>
    <row r="46">
      <c r="A46" s="92" t="s">
        <v>85</v>
      </c>
      <c r="B46" s="108" t="s">
        <v>86</v>
      </c>
      <c r="C46" s="109">
        <f>COUNTIF(D4:D31,"F")</f>
        <v>0</v>
      </c>
      <c r="D46" s="109"/>
      <c r="E46" s="109"/>
      <c r="F46" s="109">
        <f>COUNTIF(G4:G31,"F")</f>
        <v>0</v>
      </c>
      <c r="G46" s="91"/>
      <c r="H46" s="91"/>
      <c r="I46" s="109">
        <f>COUNTIF(J4:J31,"F")</f>
        <v>0</v>
      </c>
      <c r="J46" s="91"/>
      <c r="K46" s="91"/>
      <c r="L46" s="109">
        <f>COUNTIF(M4:M31,"F")</f>
        <v>0</v>
      </c>
      <c r="M46" s="109"/>
      <c r="N46" s="109"/>
      <c r="O46" s="109">
        <f>COUNTIF(P4:P31,"F")</f>
        <v>0</v>
      </c>
      <c r="P46" s="110"/>
      <c r="Q46" s="110"/>
      <c r="R46" s="109">
        <f>COUNTIF(S4:S31,"F")</f>
        <v>0</v>
      </c>
      <c r="S46" s="110"/>
      <c r="T46" s="110"/>
      <c r="U46" s="110"/>
      <c r="V46" s="109">
        <f>COUNTIF(W4:W31,"F")</f>
        <v>0</v>
      </c>
      <c r="W46" s="110"/>
      <c r="X46" s="91"/>
      <c r="Y46" s="91"/>
      <c r="Z46" s="108" t="s">
        <v>86</v>
      </c>
      <c r="AA46" s="109">
        <f>COUNTIF(AB4:AB31,"F")</f>
        <v>0</v>
      </c>
      <c r="AB46" s="109"/>
      <c r="AC46" s="109"/>
      <c r="AD46" s="109">
        <f>COUNTIF(AE4:AE31,"F")</f>
        <v>0</v>
      </c>
      <c r="AE46" s="91"/>
      <c r="AF46" s="91"/>
      <c r="AG46" s="109">
        <f>COUNTIF(AH4:AH31,"F")</f>
        <v>0</v>
      </c>
      <c r="AH46" s="91"/>
      <c r="AI46" s="91"/>
      <c r="AJ46" s="109">
        <f>COUNTIF(AK4:AK31,"F")</f>
        <v>0</v>
      </c>
      <c r="AK46" s="109"/>
      <c r="AL46" s="109"/>
      <c r="AM46" s="109">
        <f>COUNTIF(AN4:AN31,"F")</f>
        <v>0</v>
      </c>
      <c r="AN46" s="110"/>
      <c r="AO46" s="110"/>
      <c r="AP46" s="109">
        <f>COUNTIF(AQ4:AQ31,"F")</f>
        <v>0</v>
      </c>
      <c r="AQ46" s="110"/>
      <c r="AR46" s="110"/>
      <c r="AS46" s="110"/>
      <c r="AT46" s="109">
        <f>COUNTIF(AU4:AU31,"F")</f>
        <v>0</v>
      </c>
      <c r="AU46" s="110"/>
      <c r="AV46" s="109"/>
      <c r="AW46" s="91"/>
      <c r="AX46" s="108" t="s">
        <v>86</v>
      </c>
      <c r="AY46" s="109">
        <f>COUNTIF(AZ4:AZ31,"F")</f>
        <v>0</v>
      </c>
      <c r="AZ46" s="109"/>
      <c r="BA46" s="109"/>
      <c r="BB46" s="109">
        <f>COUNTIF(BC4:BC31,"F")</f>
        <v>0</v>
      </c>
      <c r="BC46" s="91"/>
      <c r="BD46" s="91"/>
      <c r="BE46" s="109">
        <f>COUNTIF(BF4:BF31,"F")</f>
        <v>0</v>
      </c>
      <c r="BF46" s="91"/>
      <c r="BG46" s="91"/>
      <c r="BH46" s="109">
        <f>COUNTIF(BI4:BI31,"F")</f>
        <v>0</v>
      </c>
      <c r="BI46" s="109"/>
      <c r="BJ46" s="109"/>
      <c r="BK46" s="109">
        <f>COUNTIF(BL4:BL31,"F")</f>
        <v>0</v>
      </c>
      <c r="BL46" s="110"/>
      <c r="BM46" s="110"/>
      <c r="BN46" s="109">
        <f>COUNTIF(BO4:BO31,"F")</f>
        <v>0</v>
      </c>
      <c r="BO46" s="110"/>
      <c r="BP46" s="110"/>
      <c r="BQ46" s="110"/>
      <c r="BR46" s="109">
        <f>COUNTIF(BS4:BS31,"F")</f>
        <v>0</v>
      </c>
      <c r="BS46" s="110"/>
      <c r="BT46" s="109"/>
      <c r="BU46" s="91"/>
      <c r="BV46" s="108" t="s">
        <v>86</v>
      </c>
      <c r="BW46" s="109">
        <f>COUNTIF(BX4:BX31,"F")</f>
        <v>0</v>
      </c>
      <c r="BX46" s="109"/>
      <c r="BY46" s="109"/>
      <c r="BZ46" s="109">
        <f>COUNTIF(CA4:CA31,"F")</f>
        <v>0</v>
      </c>
      <c r="CA46" s="91"/>
      <c r="CB46" s="91"/>
      <c r="CC46" s="109">
        <f>COUNTIF(CD4:CD31,"F")</f>
        <v>0</v>
      </c>
      <c r="CD46" s="91"/>
      <c r="CE46" s="91"/>
      <c r="CF46" s="109">
        <f>COUNTIF(CG4:CG31,"F")</f>
        <v>0</v>
      </c>
      <c r="CG46" s="109"/>
      <c r="CH46" s="109"/>
      <c r="CI46" s="109">
        <f>COUNTIF(CJ4:CJ31,"F")</f>
        <v>0</v>
      </c>
      <c r="CJ46" s="110"/>
      <c r="CK46" s="110"/>
      <c r="CL46" s="109">
        <f>COUNTIF(CM4:CM31,"F")</f>
        <v>0</v>
      </c>
      <c r="CM46" s="110"/>
      <c r="CN46" s="110"/>
      <c r="CO46" s="110"/>
      <c r="CP46" s="109">
        <f>COUNTIF(CQ4:CQ31,"F")</f>
        <v>0</v>
      </c>
      <c r="CQ46" s="110"/>
      <c r="CR46" s="109"/>
      <c r="CS46" s="91"/>
      <c r="CT46" s="108" t="s">
        <v>86</v>
      </c>
      <c r="CU46" s="109">
        <f>COUNTIF(CV4:CV31,"F")</f>
        <v>0</v>
      </c>
      <c r="CV46" s="109"/>
      <c r="CW46" s="109"/>
      <c r="CX46" s="109">
        <f>COUNTIF(CY4:CY31,"F")</f>
        <v>0</v>
      </c>
      <c r="CY46" s="91"/>
      <c r="CZ46" s="91"/>
      <c r="DA46" s="109">
        <f>COUNTIF(DB4:DB31,"F")</f>
        <v>0</v>
      </c>
      <c r="DB46" s="91"/>
      <c r="DC46" s="91"/>
      <c r="DD46" s="109">
        <f>COUNTIF(DE4:DE31,"F")</f>
        <v>0</v>
      </c>
      <c r="DE46" s="109"/>
      <c r="DF46" s="109"/>
      <c r="DG46" s="109">
        <f>COUNTIF(DH4:DH31,"F")</f>
        <v>0</v>
      </c>
      <c r="DH46" s="110"/>
      <c r="DI46" s="110"/>
      <c r="DJ46" s="109">
        <f>COUNTIF(DK4:DK31,"F")</f>
        <v>0</v>
      </c>
      <c r="DK46" s="110"/>
      <c r="DL46" s="110"/>
      <c r="DM46" s="110"/>
      <c r="DN46" s="109">
        <f>COUNTIF(DO4:DO31,"F")</f>
        <v>0</v>
      </c>
      <c r="DO46" s="110"/>
      <c r="DP46" s="109"/>
      <c r="DQ46" s="91"/>
      <c r="DR46" s="108" t="s">
        <v>86</v>
      </c>
      <c r="DS46" s="109">
        <f>COUNTIF(DT4:DT31,"F")</f>
        <v>0</v>
      </c>
      <c r="DT46" s="109"/>
      <c r="DU46" s="109"/>
      <c r="DV46" s="109">
        <f>COUNTIF(DW4:DW31,"F")</f>
        <v>0</v>
      </c>
      <c r="DW46" s="91"/>
      <c r="DX46" s="91"/>
      <c r="DY46" s="109">
        <f>COUNTIF(DZ4:DZ31,"F")</f>
        <v>0</v>
      </c>
      <c r="DZ46" s="91"/>
      <c r="EA46" s="91"/>
      <c r="EB46" s="109">
        <f>COUNTIF(EC4:EC31,"F")</f>
        <v>0</v>
      </c>
      <c r="EC46" s="109"/>
      <c r="ED46" s="109"/>
      <c r="EE46" s="109">
        <f>COUNTIF(EF4:EF31,"F")</f>
        <v>0</v>
      </c>
      <c r="EF46" s="110"/>
      <c r="EG46" s="110"/>
      <c r="EH46" s="109">
        <f>COUNTIF(EI4:EI31,"F")</f>
        <v>0</v>
      </c>
      <c r="EI46" s="110"/>
      <c r="EJ46" s="110"/>
      <c r="EK46" s="110"/>
      <c r="EL46" s="109">
        <f>COUNTIF(EM4:EM31,"F")</f>
        <v>0</v>
      </c>
      <c r="EM46" s="110"/>
      <c r="EN46" s="109"/>
      <c r="EO46" s="91"/>
      <c r="EP46" s="108" t="s">
        <v>86</v>
      </c>
      <c r="EQ46" s="109">
        <f>COUNTIF(ER4:ER31,"F")</f>
        <v>0</v>
      </c>
      <c r="ER46" s="109"/>
      <c r="ES46" s="109"/>
      <c r="ET46" s="109">
        <f>COUNTIF(EU4:EU31,"F")</f>
        <v>0</v>
      </c>
      <c r="EU46" s="91"/>
      <c r="EV46" s="91"/>
      <c r="EW46" s="109">
        <f>COUNTIF(EX4:EX31,"F")</f>
        <v>0</v>
      </c>
      <c r="EX46" s="91"/>
      <c r="EY46" s="91"/>
      <c r="EZ46" s="109">
        <f>COUNTIF(FA4:FA31,"F")</f>
        <v>0</v>
      </c>
      <c r="FA46" s="109"/>
      <c r="FB46" s="109"/>
      <c r="FC46" s="109">
        <f>COUNTIF(FD4:FD31,"F")</f>
        <v>0</v>
      </c>
      <c r="FD46" s="110"/>
      <c r="FE46" s="110"/>
      <c r="FF46" s="109">
        <f>COUNTIF(FG4:FG31,"F")</f>
        <v>0</v>
      </c>
      <c r="FG46" s="110"/>
      <c r="FH46" s="110"/>
      <c r="FI46" s="110"/>
      <c r="FJ46" s="109">
        <f>COUNTIF(FK4:FK31,"F")</f>
        <v>0</v>
      </c>
      <c r="FK46" s="110"/>
      <c r="FL46" s="109"/>
      <c r="FM46" s="91"/>
      <c r="FN46" s="108" t="s">
        <v>86</v>
      </c>
      <c r="FO46" s="109">
        <f>COUNTIF(FP4:FP31,"F")</f>
        <v>0</v>
      </c>
      <c r="FP46" s="109"/>
      <c r="FQ46" s="109"/>
      <c r="FR46" s="109">
        <f>COUNTIF(FS4:FS31,"F")</f>
        <v>0</v>
      </c>
      <c r="FS46" s="91"/>
      <c r="FT46" s="91"/>
      <c r="FU46" s="109">
        <f>COUNTIF(FV4:FV31,"F")</f>
        <v>0</v>
      </c>
      <c r="FV46" s="91"/>
      <c r="FW46" s="91"/>
      <c r="FX46" s="109">
        <f>COUNTIF(FY4:FY31,"F")</f>
        <v>0</v>
      </c>
      <c r="FY46" s="109"/>
      <c r="FZ46" s="109"/>
      <c r="GA46" s="109">
        <f>COUNTIF(GB4:GB31,"F")</f>
        <v>0</v>
      </c>
      <c r="GB46" s="110"/>
      <c r="GC46" s="110"/>
      <c r="GD46" s="109">
        <f>COUNTIF(GE4:GE31,"F")</f>
        <v>0</v>
      </c>
      <c r="GE46" s="110"/>
      <c r="GF46" s="110"/>
      <c r="GG46" s="110"/>
      <c r="GH46" s="109">
        <f>COUNTIF(GI4:GI31,"F")</f>
        <v>0</v>
      </c>
      <c r="GI46" s="110"/>
      <c r="GJ46" s="109"/>
      <c r="GK46" s="91"/>
      <c r="GL46" s="108" t="s">
        <v>86</v>
      </c>
      <c r="GM46" s="109">
        <f>COUNTIF(GN4:GN31,"F")</f>
        <v>0</v>
      </c>
      <c r="GN46" s="109"/>
      <c r="GO46" s="109"/>
      <c r="GP46" s="109">
        <f>COUNTIF(GQ4:GQ31,"F")</f>
        <v>0</v>
      </c>
      <c r="GQ46" s="91"/>
      <c r="GR46" s="91"/>
      <c r="GS46" s="109">
        <f>COUNTIF(GT4:GT31,"F")</f>
        <v>0</v>
      </c>
      <c r="GT46" s="91"/>
      <c r="GU46" s="91"/>
      <c r="GV46" s="110"/>
      <c r="GW46" s="109">
        <f>COUNTIF(GX4:GX31,"F")</f>
        <v>0</v>
      </c>
      <c r="GX46" s="110"/>
      <c r="GY46" s="109"/>
      <c r="GZ46" s="91"/>
      <c r="HA46" s="108" t="s">
        <v>86</v>
      </c>
      <c r="HB46" s="109">
        <f>COUNTIF(HC4:HC31,"F")</f>
        <v>0</v>
      </c>
      <c r="HC46" s="109"/>
      <c r="HD46" s="109"/>
      <c r="HE46" s="109">
        <f>COUNTIF(HF4:HF31,"F")</f>
        <v>0</v>
      </c>
      <c r="HF46" s="91"/>
      <c r="HG46" s="91"/>
      <c r="HH46" s="109">
        <f>COUNTIF(HI4:HI31,"F")</f>
        <v>0</v>
      </c>
      <c r="HI46" s="91"/>
      <c r="HJ46" s="91"/>
      <c r="HK46" s="110"/>
      <c r="HL46" s="109">
        <f>COUNTIF(HM4:HM31,"F")</f>
        <v>0</v>
      </c>
      <c r="HM46" s="110"/>
      <c r="HN46" s="110"/>
      <c r="HO46" s="91"/>
      <c r="HP46" s="108" t="s">
        <v>86</v>
      </c>
      <c r="HQ46" s="109">
        <f>COUNTIF(HR4:HR31,"F")</f>
        <v>0</v>
      </c>
      <c r="HR46" s="109"/>
      <c r="HS46" s="109"/>
      <c r="HT46" s="109">
        <f>COUNTIF(HU4:HU31,"F")</f>
        <v>0</v>
      </c>
      <c r="HU46" s="91"/>
      <c r="HV46" s="91"/>
      <c r="HW46" s="109">
        <f>COUNTIF(HX4:HX31,"F")</f>
        <v>0</v>
      </c>
      <c r="HX46" s="91"/>
      <c r="HY46" s="91"/>
      <c r="HZ46" s="110"/>
      <c r="IA46" s="109">
        <f>COUNTIF(IB4:IB31,"F")</f>
        <v>0</v>
      </c>
      <c r="IB46" s="110"/>
      <c r="IC46" s="110"/>
    </row>
    <row r="47">
      <c r="A47" s="98">
        <f>countif($B$4:$B$32,"F")</f>
        <v>0</v>
      </c>
      <c r="B47" s="111" t="s">
        <v>87</v>
      </c>
      <c r="C47" s="112" t="str">
        <f>C46/$A$47</f>
        <v>#DIV/0!</v>
      </c>
      <c r="D47" s="112"/>
      <c r="E47" s="112"/>
      <c r="F47" s="112" t="str">
        <f>F46/$A$47</f>
        <v>#DIV/0!</v>
      </c>
      <c r="G47" s="112"/>
      <c r="H47" s="112"/>
      <c r="I47" s="112" t="str">
        <f>I46/$A$47</f>
        <v>#DIV/0!</v>
      </c>
      <c r="J47" s="112"/>
      <c r="K47" s="112"/>
      <c r="L47" s="112" t="str">
        <f>L46/$A$47</f>
        <v>#DIV/0!</v>
      </c>
      <c r="M47" s="112"/>
      <c r="N47" s="112"/>
      <c r="O47" s="112" t="str">
        <f>O46/$A$47</f>
        <v>#DIV/0!</v>
      </c>
      <c r="P47" s="112"/>
      <c r="Q47" s="112"/>
      <c r="R47" s="112" t="str">
        <f>R46/$A$47</f>
        <v>#DIV/0!</v>
      </c>
      <c r="S47" s="112"/>
      <c r="T47" s="112"/>
      <c r="U47" s="112"/>
      <c r="V47" s="112" t="str">
        <f>V46/$A$47</f>
        <v>#DIV/0!</v>
      </c>
      <c r="W47" s="101"/>
      <c r="X47" s="101"/>
      <c r="Y47" s="91"/>
      <c r="Z47" s="111" t="s">
        <v>87</v>
      </c>
      <c r="AA47" s="112" t="str">
        <f>AA46/$A$47</f>
        <v>#DIV/0!</v>
      </c>
      <c r="AB47" s="112"/>
      <c r="AC47" s="112"/>
      <c r="AD47" s="112" t="str">
        <f>AD46/$A$47</f>
        <v>#DIV/0!</v>
      </c>
      <c r="AE47" s="112"/>
      <c r="AF47" s="112"/>
      <c r="AG47" s="112" t="str">
        <f>AG46/$A$47</f>
        <v>#DIV/0!</v>
      </c>
      <c r="AH47" s="112"/>
      <c r="AI47" s="112"/>
      <c r="AJ47" s="112" t="str">
        <f>AJ46/$A$47</f>
        <v>#DIV/0!</v>
      </c>
      <c r="AK47" s="112"/>
      <c r="AL47" s="112"/>
      <c r="AM47" s="112" t="str">
        <f>AM46/$A$47</f>
        <v>#DIV/0!</v>
      </c>
      <c r="AN47" s="112"/>
      <c r="AO47" s="112"/>
      <c r="AP47" s="112" t="str">
        <f>AP46/$A$47</f>
        <v>#DIV/0!</v>
      </c>
      <c r="AQ47" s="112"/>
      <c r="AR47" s="112"/>
      <c r="AS47" s="112"/>
      <c r="AT47" s="112" t="str">
        <f>AT46/$A$47</f>
        <v>#DIV/0!</v>
      </c>
      <c r="AU47" s="101"/>
      <c r="AV47" s="112"/>
      <c r="AW47" s="91"/>
      <c r="AX47" s="111" t="s">
        <v>87</v>
      </c>
      <c r="AY47" s="112" t="str">
        <f>AY46/$A$47</f>
        <v>#DIV/0!</v>
      </c>
      <c r="AZ47" s="112"/>
      <c r="BA47" s="112"/>
      <c r="BB47" s="112" t="str">
        <f>BB46/$A$47</f>
        <v>#DIV/0!</v>
      </c>
      <c r="BC47" s="112"/>
      <c r="BD47" s="112"/>
      <c r="BE47" s="112" t="str">
        <f>BE46/$A$47</f>
        <v>#DIV/0!</v>
      </c>
      <c r="BF47" s="112"/>
      <c r="BG47" s="112"/>
      <c r="BH47" s="112" t="str">
        <f>BH46/$A$47</f>
        <v>#DIV/0!</v>
      </c>
      <c r="BI47" s="112"/>
      <c r="BJ47" s="112"/>
      <c r="BK47" s="112" t="str">
        <f>BK46/$A$47</f>
        <v>#DIV/0!</v>
      </c>
      <c r="BL47" s="112"/>
      <c r="BM47" s="112"/>
      <c r="BN47" s="112" t="str">
        <f>BN46/$A$47</f>
        <v>#DIV/0!</v>
      </c>
      <c r="BO47" s="112"/>
      <c r="BP47" s="112"/>
      <c r="BQ47" s="112"/>
      <c r="BR47" s="112" t="str">
        <f>BR46/$A$47</f>
        <v>#DIV/0!</v>
      </c>
      <c r="BS47" s="101"/>
      <c r="BT47" s="112"/>
      <c r="BU47" s="91"/>
      <c r="BV47" s="111" t="s">
        <v>87</v>
      </c>
      <c r="BW47" s="112" t="str">
        <f>BW46/$A$47</f>
        <v>#DIV/0!</v>
      </c>
      <c r="BX47" s="112"/>
      <c r="BY47" s="112"/>
      <c r="BZ47" s="112" t="str">
        <f>BZ46/$A$47</f>
        <v>#DIV/0!</v>
      </c>
      <c r="CA47" s="112"/>
      <c r="CB47" s="112"/>
      <c r="CC47" s="112" t="str">
        <f>CC46/$A$47</f>
        <v>#DIV/0!</v>
      </c>
      <c r="CD47" s="112"/>
      <c r="CE47" s="112"/>
      <c r="CF47" s="112" t="str">
        <f>CF46/$A$47</f>
        <v>#DIV/0!</v>
      </c>
      <c r="CG47" s="112"/>
      <c r="CH47" s="112"/>
      <c r="CI47" s="112" t="str">
        <f>CI46/$A$47</f>
        <v>#DIV/0!</v>
      </c>
      <c r="CJ47" s="112"/>
      <c r="CK47" s="112"/>
      <c r="CL47" s="112" t="str">
        <f>CL46/$A$47</f>
        <v>#DIV/0!</v>
      </c>
      <c r="CM47" s="112"/>
      <c r="CN47" s="112"/>
      <c r="CO47" s="112"/>
      <c r="CP47" s="112" t="str">
        <f>CP46/$A$47</f>
        <v>#DIV/0!</v>
      </c>
      <c r="CQ47" s="101"/>
      <c r="CR47" s="112"/>
      <c r="CS47" s="91"/>
      <c r="CT47" s="111" t="s">
        <v>87</v>
      </c>
      <c r="CU47" s="112" t="str">
        <f>CU46/$A$47</f>
        <v>#DIV/0!</v>
      </c>
      <c r="CV47" s="112"/>
      <c r="CW47" s="112"/>
      <c r="CX47" s="112" t="str">
        <f>CX46/$A$47</f>
        <v>#DIV/0!</v>
      </c>
      <c r="CY47" s="112"/>
      <c r="CZ47" s="112"/>
      <c r="DA47" s="112" t="str">
        <f>DA46/$A$47</f>
        <v>#DIV/0!</v>
      </c>
      <c r="DB47" s="112"/>
      <c r="DC47" s="112"/>
      <c r="DD47" s="112" t="str">
        <f>DD46/$A$47</f>
        <v>#DIV/0!</v>
      </c>
      <c r="DE47" s="112"/>
      <c r="DF47" s="112"/>
      <c r="DG47" s="112" t="str">
        <f>DG46/$A$47</f>
        <v>#DIV/0!</v>
      </c>
      <c r="DH47" s="112"/>
      <c r="DI47" s="112"/>
      <c r="DJ47" s="112" t="str">
        <f>DJ46/$A$47</f>
        <v>#DIV/0!</v>
      </c>
      <c r="DK47" s="112"/>
      <c r="DL47" s="112"/>
      <c r="DM47" s="112"/>
      <c r="DN47" s="112" t="str">
        <f>DN46/$A$47</f>
        <v>#DIV/0!</v>
      </c>
      <c r="DO47" s="101"/>
      <c r="DP47" s="112"/>
      <c r="DQ47" s="91"/>
      <c r="DR47" s="111" t="s">
        <v>87</v>
      </c>
      <c r="DS47" s="112" t="str">
        <f>DS46/$A$47</f>
        <v>#DIV/0!</v>
      </c>
      <c r="DT47" s="112"/>
      <c r="DU47" s="112"/>
      <c r="DV47" s="112" t="str">
        <f>DV46/$A$47</f>
        <v>#DIV/0!</v>
      </c>
      <c r="DW47" s="112"/>
      <c r="DX47" s="112"/>
      <c r="DY47" s="112" t="str">
        <f>DY46/$A$47</f>
        <v>#DIV/0!</v>
      </c>
      <c r="DZ47" s="112"/>
      <c r="EA47" s="112"/>
      <c r="EB47" s="112" t="str">
        <f>EB46/$A$47</f>
        <v>#DIV/0!</v>
      </c>
      <c r="EC47" s="112"/>
      <c r="ED47" s="112"/>
      <c r="EE47" s="112" t="str">
        <f>EE46/$A$47</f>
        <v>#DIV/0!</v>
      </c>
      <c r="EF47" s="112"/>
      <c r="EG47" s="112"/>
      <c r="EH47" s="112" t="str">
        <f>EH46/$A$47</f>
        <v>#DIV/0!</v>
      </c>
      <c r="EI47" s="112"/>
      <c r="EJ47" s="112"/>
      <c r="EK47" s="112"/>
      <c r="EL47" s="112" t="str">
        <f>EL46/$A$47</f>
        <v>#DIV/0!</v>
      </c>
      <c r="EM47" s="101"/>
      <c r="EN47" s="112"/>
      <c r="EO47" s="91"/>
      <c r="EP47" s="111" t="s">
        <v>87</v>
      </c>
      <c r="EQ47" s="112" t="str">
        <f>EQ46/$A$47</f>
        <v>#DIV/0!</v>
      </c>
      <c r="ER47" s="112"/>
      <c r="ES47" s="112"/>
      <c r="ET47" s="112" t="str">
        <f>ET46/$A$47</f>
        <v>#DIV/0!</v>
      </c>
      <c r="EU47" s="112"/>
      <c r="EV47" s="112"/>
      <c r="EW47" s="112" t="str">
        <f>EW46/$A$47</f>
        <v>#DIV/0!</v>
      </c>
      <c r="EX47" s="112"/>
      <c r="EY47" s="112"/>
      <c r="EZ47" s="112" t="str">
        <f>EZ46/$A$47</f>
        <v>#DIV/0!</v>
      </c>
      <c r="FA47" s="112"/>
      <c r="FB47" s="112"/>
      <c r="FC47" s="112" t="str">
        <f>FC46/$A$47</f>
        <v>#DIV/0!</v>
      </c>
      <c r="FD47" s="112"/>
      <c r="FE47" s="112"/>
      <c r="FF47" s="112" t="str">
        <f>FF46/$A$47</f>
        <v>#DIV/0!</v>
      </c>
      <c r="FG47" s="112"/>
      <c r="FH47" s="112"/>
      <c r="FI47" s="112"/>
      <c r="FJ47" s="112" t="str">
        <f>FJ46/$A$47</f>
        <v>#DIV/0!</v>
      </c>
      <c r="FK47" s="101"/>
      <c r="FL47" s="112"/>
      <c r="FM47" s="91"/>
      <c r="FN47" s="111" t="s">
        <v>87</v>
      </c>
      <c r="FO47" s="112" t="str">
        <f>FO46/$A$47</f>
        <v>#DIV/0!</v>
      </c>
      <c r="FP47" s="112"/>
      <c r="FQ47" s="112"/>
      <c r="FR47" s="112" t="str">
        <f>FR46/$A$47</f>
        <v>#DIV/0!</v>
      </c>
      <c r="FS47" s="112"/>
      <c r="FT47" s="112"/>
      <c r="FU47" s="112" t="str">
        <f>FU46/$A$47</f>
        <v>#DIV/0!</v>
      </c>
      <c r="FV47" s="112"/>
      <c r="FW47" s="112"/>
      <c r="FX47" s="112" t="str">
        <f>FX46/$A$47</f>
        <v>#DIV/0!</v>
      </c>
      <c r="FY47" s="112"/>
      <c r="FZ47" s="112"/>
      <c r="GA47" s="112" t="str">
        <f>GA46/$A$47</f>
        <v>#DIV/0!</v>
      </c>
      <c r="GB47" s="112"/>
      <c r="GC47" s="112"/>
      <c r="GD47" s="112" t="str">
        <f>GD46/$A$47</f>
        <v>#DIV/0!</v>
      </c>
      <c r="GE47" s="112"/>
      <c r="GF47" s="112"/>
      <c r="GG47" s="112"/>
      <c r="GH47" s="112" t="str">
        <f>GH46/$A$47</f>
        <v>#DIV/0!</v>
      </c>
      <c r="GI47" s="101"/>
      <c r="GJ47" s="112"/>
      <c r="GK47" s="91"/>
      <c r="GL47" s="111" t="s">
        <v>87</v>
      </c>
      <c r="GM47" s="112" t="str">
        <f>GM46/$A$47</f>
        <v>#DIV/0!</v>
      </c>
      <c r="GN47" s="112"/>
      <c r="GO47" s="112"/>
      <c r="GP47" s="112" t="str">
        <f>GP46/$A$47</f>
        <v>#DIV/0!</v>
      </c>
      <c r="GQ47" s="112"/>
      <c r="GR47" s="112"/>
      <c r="GS47" s="112" t="str">
        <f>GS46/$A$47</f>
        <v>#DIV/0!</v>
      </c>
      <c r="GT47" s="112"/>
      <c r="GU47" s="112"/>
      <c r="GV47" s="112"/>
      <c r="GW47" s="112" t="str">
        <f>GW46/$A$47</f>
        <v>#DIV/0!</v>
      </c>
      <c r="GX47" s="101"/>
      <c r="GY47" s="112"/>
      <c r="GZ47" s="91"/>
      <c r="HA47" s="111" t="s">
        <v>87</v>
      </c>
      <c r="HB47" s="112" t="str">
        <f>HB46/$A$47</f>
        <v>#DIV/0!</v>
      </c>
      <c r="HC47" s="112"/>
      <c r="HD47" s="112"/>
      <c r="HE47" s="112" t="str">
        <f>HE46/$A$47</f>
        <v>#DIV/0!</v>
      </c>
      <c r="HF47" s="112"/>
      <c r="HG47" s="112"/>
      <c r="HH47" s="112" t="str">
        <f>HH46/$A$47</f>
        <v>#DIV/0!</v>
      </c>
      <c r="HI47" s="112"/>
      <c r="HJ47" s="112"/>
      <c r="HK47" s="112"/>
      <c r="HL47" s="112" t="str">
        <f>HL46/$A$47</f>
        <v>#DIV/0!</v>
      </c>
      <c r="HM47" s="101"/>
      <c r="HN47" s="101"/>
      <c r="HO47" s="91"/>
      <c r="HP47" s="111" t="s">
        <v>87</v>
      </c>
      <c r="HQ47" s="112" t="str">
        <f>HQ46/$A$47</f>
        <v>#DIV/0!</v>
      </c>
      <c r="HR47" s="112"/>
      <c r="HS47" s="112"/>
      <c r="HT47" s="112" t="str">
        <f>HT46/$A$47</f>
        <v>#DIV/0!</v>
      </c>
      <c r="HU47" s="112"/>
      <c r="HV47" s="112"/>
      <c r="HW47" s="112" t="str">
        <f>HW46/$A$47</f>
        <v>#DIV/0!</v>
      </c>
      <c r="HX47" s="112"/>
      <c r="HY47" s="112"/>
      <c r="HZ47" s="112"/>
      <c r="IA47" s="112" t="str">
        <f>IA46/$A$47</f>
        <v>#DIV/0!</v>
      </c>
      <c r="IB47" s="101"/>
      <c r="IC47" s="101"/>
    </row>
    <row r="48">
      <c r="A48" s="92" t="s">
        <v>88</v>
      </c>
      <c r="B48" s="108" t="s">
        <v>89</v>
      </c>
      <c r="C48" s="109">
        <f>COUNTIF(D4:D31,"M")</f>
        <v>0</v>
      </c>
      <c r="D48" s="109"/>
      <c r="E48" s="109"/>
      <c r="F48" s="109">
        <f>COUNTIF(G4:G31,"M")</f>
        <v>0</v>
      </c>
      <c r="G48" s="91"/>
      <c r="H48" s="91"/>
      <c r="I48" s="109">
        <f>COUNTIF(J4:J31,"M")</f>
        <v>0</v>
      </c>
      <c r="J48" s="91"/>
      <c r="K48" s="91"/>
      <c r="L48" s="109">
        <f>COUNTIF(M4:M31,"M")</f>
        <v>0</v>
      </c>
      <c r="M48" s="109"/>
      <c r="N48" s="109"/>
      <c r="O48" s="109">
        <f>COUNTIF(P4:P31,"M")</f>
        <v>0</v>
      </c>
      <c r="P48" s="110"/>
      <c r="Q48" s="110"/>
      <c r="R48" s="109">
        <f>COUNTIF(S4:S31,"M")</f>
        <v>0</v>
      </c>
      <c r="S48" s="110"/>
      <c r="T48" s="110"/>
      <c r="U48" s="110"/>
      <c r="V48" s="109">
        <f>COUNTIF(W4:W31,"M")</f>
        <v>0</v>
      </c>
      <c r="W48" s="110"/>
      <c r="X48" s="91"/>
      <c r="Y48" s="91"/>
      <c r="Z48" s="108" t="s">
        <v>89</v>
      </c>
      <c r="AA48" s="109">
        <f>COUNTIF(AB4:AB31,"M")</f>
        <v>0</v>
      </c>
      <c r="AB48" s="109"/>
      <c r="AC48" s="109"/>
      <c r="AD48" s="109">
        <f>COUNTIF(AE4:AE31,"M")</f>
        <v>0</v>
      </c>
      <c r="AE48" s="91"/>
      <c r="AF48" s="91"/>
      <c r="AG48" s="109">
        <f>COUNTIF(AH4:AH31,"M")</f>
        <v>0</v>
      </c>
      <c r="AH48" s="91"/>
      <c r="AI48" s="91"/>
      <c r="AJ48" s="109">
        <f>COUNTIF(AK4:AK31,"M")</f>
        <v>0</v>
      </c>
      <c r="AK48" s="109"/>
      <c r="AL48" s="109"/>
      <c r="AM48" s="109">
        <f>COUNTIF(AN4:AN31,"M")</f>
        <v>0</v>
      </c>
      <c r="AN48" s="110"/>
      <c r="AO48" s="110"/>
      <c r="AP48" s="109">
        <f>COUNTIF(AQ4:AQ31,"M")</f>
        <v>0</v>
      </c>
      <c r="AQ48" s="110"/>
      <c r="AR48" s="110"/>
      <c r="AS48" s="110"/>
      <c r="AT48" s="109">
        <f>COUNTIF(AU4:AU31,"M")</f>
        <v>0</v>
      </c>
      <c r="AU48" s="110"/>
      <c r="AV48" s="109"/>
      <c r="AW48" s="91"/>
      <c r="AX48" s="108" t="s">
        <v>89</v>
      </c>
      <c r="AY48" s="109">
        <f>COUNTIF(AZ4:AZ31,"M")</f>
        <v>0</v>
      </c>
      <c r="AZ48" s="109"/>
      <c r="BA48" s="109"/>
      <c r="BB48" s="109">
        <f>COUNTIF(BC4:BC31,"M")</f>
        <v>0</v>
      </c>
      <c r="BC48" s="91"/>
      <c r="BD48" s="91"/>
      <c r="BE48" s="109">
        <f>COUNTIF(BF4:BF31,"M")</f>
        <v>0</v>
      </c>
      <c r="BF48" s="91"/>
      <c r="BG48" s="91"/>
      <c r="BH48" s="109">
        <f>COUNTIF(BI4:BI31,"M")</f>
        <v>0</v>
      </c>
      <c r="BI48" s="109"/>
      <c r="BJ48" s="109"/>
      <c r="BK48" s="109">
        <f>COUNTIF(BL4:BL31,"M")</f>
        <v>0</v>
      </c>
      <c r="BL48" s="110"/>
      <c r="BM48" s="110"/>
      <c r="BN48" s="109">
        <f>COUNTIF(BO4:BO31,"M")</f>
        <v>0</v>
      </c>
      <c r="BO48" s="110"/>
      <c r="BP48" s="110"/>
      <c r="BQ48" s="110"/>
      <c r="BR48" s="109">
        <f>COUNTIF(BS4:BS31,"M")</f>
        <v>0</v>
      </c>
      <c r="BS48" s="110"/>
      <c r="BT48" s="109"/>
      <c r="BU48" s="91"/>
      <c r="BV48" s="108" t="s">
        <v>89</v>
      </c>
      <c r="BW48" s="109">
        <f>COUNTIF(BX4:BX31,"M")</f>
        <v>0</v>
      </c>
      <c r="BX48" s="109"/>
      <c r="BY48" s="109"/>
      <c r="BZ48" s="109">
        <f>COUNTIF(CA4:CA31,"M")</f>
        <v>0</v>
      </c>
      <c r="CA48" s="91"/>
      <c r="CB48" s="91"/>
      <c r="CC48" s="109">
        <f>COUNTIF(CD4:CD31,"M")</f>
        <v>0</v>
      </c>
      <c r="CD48" s="91"/>
      <c r="CE48" s="91"/>
      <c r="CF48" s="109">
        <f>COUNTIF(CG4:CG31,"M")</f>
        <v>0</v>
      </c>
      <c r="CG48" s="109"/>
      <c r="CH48" s="109"/>
      <c r="CI48" s="109">
        <f>COUNTIF(CJ4:CJ31,"M")</f>
        <v>0</v>
      </c>
      <c r="CJ48" s="110"/>
      <c r="CK48" s="110"/>
      <c r="CL48" s="109">
        <f>COUNTIF(CM4:CM31,"M")</f>
        <v>0</v>
      </c>
      <c r="CM48" s="110"/>
      <c r="CN48" s="110"/>
      <c r="CO48" s="110"/>
      <c r="CP48" s="109">
        <f>COUNTIF(CQ4:CQ31,"M")</f>
        <v>0</v>
      </c>
      <c r="CQ48" s="110"/>
      <c r="CR48" s="109"/>
      <c r="CS48" s="91"/>
      <c r="CT48" s="108" t="s">
        <v>89</v>
      </c>
      <c r="CU48" s="109">
        <f>COUNTIF(CV4:CV31,"M")</f>
        <v>0</v>
      </c>
      <c r="CV48" s="109"/>
      <c r="CW48" s="109"/>
      <c r="CX48" s="109">
        <f>COUNTIF(CY4:CY31,"M")</f>
        <v>0</v>
      </c>
      <c r="CY48" s="91"/>
      <c r="CZ48" s="91"/>
      <c r="DA48" s="109">
        <f>COUNTIF(DB4:DB31,"M")</f>
        <v>0</v>
      </c>
      <c r="DB48" s="91"/>
      <c r="DC48" s="91"/>
      <c r="DD48" s="109">
        <f>COUNTIF(DE4:DE31,"M")</f>
        <v>0</v>
      </c>
      <c r="DE48" s="109"/>
      <c r="DF48" s="109"/>
      <c r="DG48" s="109">
        <f>COUNTIF(DH4:DH31,"M")</f>
        <v>0</v>
      </c>
      <c r="DH48" s="110"/>
      <c r="DI48" s="110"/>
      <c r="DJ48" s="109">
        <f>COUNTIF(DK4:DK31,"M")</f>
        <v>0</v>
      </c>
      <c r="DK48" s="110"/>
      <c r="DL48" s="110"/>
      <c r="DM48" s="110"/>
      <c r="DN48" s="109">
        <f>COUNTIF(DO4:DO31,"M")</f>
        <v>0</v>
      </c>
      <c r="DO48" s="110"/>
      <c r="DP48" s="109"/>
      <c r="DQ48" s="91"/>
      <c r="DR48" s="108" t="s">
        <v>89</v>
      </c>
      <c r="DS48" s="109">
        <f>COUNTIF(DT4:DT31,"M")</f>
        <v>0</v>
      </c>
      <c r="DT48" s="109"/>
      <c r="DU48" s="109"/>
      <c r="DV48" s="109">
        <f>COUNTIF(DW4:DW31,"M")</f>
        <v>0</v>
      </c>
      <c r="DW48" s="91"/>
      <c r="DX48" s="91"/>
      <c r="DY48" s="109">
        <f>COUNTIF(DZ4:DZ31,"M")</f>
        <v>0</v>
      </c>
      <c r="DZ48" s="91"/>
      <c r="EA48" s="91"/>
      <c r="EB48" s="109">
        <f>COUNTIF(EC4:EC31,"M")</f>
        <v>0</v>
      </c>
      <c r="EC48" s="109"/>
      <c r="ED48" s="109"/>
      <c r="EE48" s="109">
        <f>COUNTIF(EF4:EF31,"M")</f>
        <v>0</v>
      </c>
      <c r="EF48" s="110"/>
      <c r="EG48" s="110"/>
      <c r="EH48" s="109">
        <f>COUNTIF(EI4:EI31,"M")</f>
        <v>0</v>
      </c>
      <c r="EI48" s="110"/>
      <c r="EJ48" s="110"/>
      <c r="EK48" s="110"/>
      <c r="EL48" s="109">
        <f>COUNTIF(EM4:EM31,"M")</f>
        <v>0</v>
      </c>
      <c r="EM48" s="110"/>
      <c r="EN48" s="109"/>
      <c r="EO48" s="91"/>
      <c r="EP48" s="108" t="s">
        <v>89</v>
      </c>
      <c r="EQ48" s="109">
        <f>COUNTIF(ER4:ER31,"M")</f>
        <v>0</v>
      </c>
      <c r="ER48" s="109"/>
      <c r="ES48" s="109"/>
      <c r="ET48" s="109">
        <f>COUNTIF(EU4:EU31,"M")</f>
        <v>0</v>
      </c>
      <c r="EU48" s="91"/>
      <c r="EV48" s="91"/>
      <c r="EW48" s="109">
        <f>COUNTIF(EX4:EX31,"M")</f>
        <v>0</v>
      </c>
      <c r="EX48" s="91"/>
      <c r="EY48" s="91"/>
      <c r="EZ48" s="109">
        <f>COUNTIF(FA4:FA31,"M")</f>
        <v>0</v>
      </c>
      <c r="FA48" s="109"/>
      <c r="FB48" s="109"/>
      <c r="FC48" s="109">
        <f>COUNTIF(FD4:FD31,"M")</f>
        <v>0</v>
      </c>
      <c r="FD48" s="110"/>
      <c r="FE48" s="110"/>
      <c r="FF48" s="109">
        <f>COUNTIF(FG4:FG31,"M")</f>
        <v>0</v>
      </c>
      <c r="FG48" s="110"/>
      <c r="FH48" s="110"/>
      <c r="FI48" s="110"/>
      <c r="FJ48" s="109">
        <f>COUNTIF(FK4:FK31,"M")</f>
        <v>0</v>
      </c>
      <c r="FK48" s="110"/>
      <c r="FL48" s="109"/>
      <c r="FM48" s="91"/>
      <c r="FN48" s="108" t="s">
        <v>89</v>
      </c>
      <c r="FO48" s="109">
        <f>COUNTIF(FP4:FP31,"M")</f>
        <v>0</v>
      </c>
      <c r="FP48" s="109"/>
      <c r="FQ48" s="109"/>
      <c r="FR48" s="109">
        <f>COUNTIF(FS4:FS31,"M")</f>
        <v>0</v>
      </c>
      <c r="FS48" s="91"/>
      <c r="FT48" s="91"/>
      <c r="FU48" s="109">
        <f>COUNTIF(FV4:FV31,"M")</f>
        <v>0</v>
      </c>
      <c r="FV48" s="91"/>
      <c r="FW48" s="91"/>
      <c r="FX48" s="109">
        <f>COUNTIF(FY4:FY31,"M")</f>
        <v>0</v>
      </c>
      <c r="FY48" s="109"/>
      <c r="FZ48" s="109"/>
      <c r="GA48" s="109">
        <f>COUNTIF(GB4:GB31,"M")</f>
        <v>0</v>
      </c>
      <c r="GB48" s="110"/>
      <c r="GC48" s="110"/>
      <c r="GD48" s="109">
        <f>COUNTIF(GE4:GE31,"M")</f>
        <v>0</v>
      </c>
      <c r="GE48" s="110"/>
      <c r="GF48" s="110"/>
      <c r="GG48" s="110"/>
      <c r="GH48" s="109">
        <f>COUNTIF(GI4:GI31,"M")</f>
        <v>0</v>
      </c>
      <c r="GI48" s="110"/>
      <c r="GJ48" s="109"/>
      <c r="GK48" s="91"/>
      <c r="GL48" s="108" t="s">
        <v>89</v>
      </c>
      <c r="GM48" s="109">
        <f>COUNTIF(GN4:GN31,"M")</f>
        <v>0</v>
      </c>
      <c r="GN48" s="109"/>
      <c r="GO48" s="109"/>
      <c r="GP48" s="109">
        <f>COUNTIF(GQ4:GQ31,"M")</f>
        <v>0</v>
      </c>
      <c r="GQ48" s="91"/>
      <c r="GR48" s="91"/>
      <c r="GS48" s="109">
        <f>COUNTIF(GT4:GT31,"M")</f>
        <v>0</v>
      </c>
      <c r="GT48" s="91"/>
      <c r="GU48" s="91"/>
      <c r="GV48" s="110"/>
      <c r="GW48" s="109">
        <f>COUNTIF(GX4:GX31,"M")</f>
        <v>0</v>
      </c>
      <c r="GX48" s="110"/>
      <c r="GY48" s="109"/>
      <c r="GZ48" s="91"/>
      <c r="HA48" s="108" t="s">
        <v>89</v>
      </c>
      <c r="HB48" s="109">
        <f>COUNTIF(HC4:HC31,"M")</f>
        <v>0</v>
      </c>
      <c r="HC48" s="109"/>
      <c r="HD48" s="109"/>
      <c r="HE48" s="109">
        <f>COUNTIF(HF4:HF31,"M")</f>
        <v>0</v>
      </c>
      <c r="HF48" s="91"/>
      <c r="HG48" s="91"/>
      <c r="HH48" s="109">
        <f>COUNTIF(HI4:HI31,"M")</f>
        <v>0</v>
      </c>
      <c r="HI48" s="91"/>
      <c r="HJ48" s="91"/>
      <c r="HK48" s="110"/>
      <c r="HL48" s="109">
        <f>COUNTIF(HM4:HM31,"M")</f>
        <v>0</v>
      </c>
      <c r="HM48" s="110"/>
      <c r="HN48" s="110"/>
      <c r="HO48" s="91"/>
      <c r="HP48" s="108" t="s">
        <v>89</v>
      </c>
      <c r="HQ48" s="109">
        <f>COUNTIF(HR4:HR31,"M")</f>
        <v>0</v>
      </c>
      <c r="HR48" s="109"/>
      <c r="HS48" s="109"/>
      <c r="HT48" s="109">
        <f>COUNTIF(HU4:HU31,"M")</f>
        <v>0</v>
      </c>
      <c r="HU48" s="91"/>
      <c r="HV48" s="91"/>
      <c r="HW48" s="109">
        <f>COUNTIF(HX4:HX31,"M")</f>
        <v>0</v>
      </c>
      <c r="HX48" s="91"/>
      <c r="HY48" s="91"/>
      <c r="HZ48" s="110"/>
      <c r="IA48" s="109">
        <f>COUNTIF(IB4:IB31,"M")</f>
        <v>0</v>
      </c>
      <c r="IB48" s="110"/>
      <c r="IC48" s="110"/>
    </row>
    <row r="49">
      <c r="A49" s="98">
        <f>countif($B$4:$B$32,"M")</f>
        <v>0</v>
      </c>
      <c r="B49" s="111" t="s">
        <v>90</v>
      </c>
      <c r="C49" s="112" t="str">
        <f>C48/$A$49</f>
        <v>#DIV/0!</v>
      </c>
      <c r="D49" s="112"/>
      <c r="E49" s="112"/>
      <c r="F49" s="112" t="str">
        <f>F48/$A$49</f>
        <v>#DIV/0!</v>
      </c>
      <c r="G49" s="112"/>
      <c r="H49" s="112"/>
      <c r="I49" s="112" t="str">
        <f>I48/$A$49</f>
        <v>#DIV/0!</v>
      </c>
      <c r="J49" s="112"/>
      <c r="K49" s="112"/>
      <c r="L49" s="112" t="str">
        <f>L48/$A$49</f>
        <v>#DIV/0!</v>
      </c>
      <c r="M49" s="112"/>
      <c r="N49" s="112"/>
      <c r="O49" s="112" t="str">
        <f>O48/$A$49</f>
        <v>#DIV/0!</v>
      </c>
      <c r="P49" s="112"/>
      <c r="Q49" s="112"/>
      <c r="R49" s="112" t="str">
        <f>R48/$A$49</f>
        <v>#DIV/0!</v>
      </c>
      <c r="S49" s="112"/>
      <c r="T49" s="112"/>
      <c r="U49" s="112"/>
      <c r="V49" s="112" t="str">
        <f>V48/$A$49</f>
        <v>#DIV/0!</v>
      </c>
      <c r="W49" s="101"/>
      <c r="X49" s="101"/>
      <c r="Y49" s="91"/>
      <c r="Z49" s="111" t="s">
        <v>90</v>
      </c>
      <c r="AA49" s="112" t="str">
        <f>AA48/$A$49</f>
        <v>#DIV/0!</v>
      </c>
      <c r="AB49" s="112"/>
      <c r="AC49" s="112"/>
      <c r="AD49" s="112" t="str">
        <f>AD48/$A$49</f>
        <v>#DIV/0!</v>
      </c>
      <c r="AE49" s="112"/>
      <c r="AF49" s="112"/>
      <c r="AG49" s="112" t="str">
        <f>AG48/$A$49</f>
        <v>#DIV/0!</v>
      </c>
      <c r="AH49" s="112"/>
      <c r="AI49" s="112"/>
      <c r="AJ49" s="112" t="str">
        <f>AJ48/$A$49</f>
        <v>#DIV/0!</v>
      </c>
      <c r="AK49" s="112"/>
      <c r="AL49" s="112"/>
      <c r="AM49" s="112" t="str">
        <f>AM48/$A$49</f>
        <v>#DIV/0!</v>
      </c>
      <c r="AN49" s="112"/>
      <c r="AO49" s="112"/>
      <c r="AP49" s="112" t="str">
        <f>AP48/$A$49</f>
        <v>#DIV/0!</v>
      </c>
      <c r="AQ49" s="112"/>
      <c r="AR49" s="112"/>
      <c r="AS49" s="112"/>
      <c r="AT49" s="112" t="str">
        <f>AT48/$A$49</f>
        <v>#DIV/0!</v>
      </c>
      <c r="AU49" s="101"/>
      <c r="AV49" s="112"/>
      <c r="AW49" s="91"/>
      <c r="AX49" s="111" t="s">
        <v>90</v>
      </c>
      <c r="AY49" s="112" t="str">
        <f>AY48/$A$49</f>
        <v>#DIV/0!</v>
      </c>
      <c r="AZ49" s="112"/>
      <c r="BA49" s="112"/>
      <c r="BB49" s="112" t="str">
        <f>BB48/$A$49</f>
        <v>#DIV/0!</v>
      </c>
      <c r="BC49" s="112"/>
      <c r="BD49" s="112"/>
      <c r="BE49" s="112" t="str">
        <f>BE48/$A$49</f>
        <v>#DIV/0!</v>
      </c>
      <c r="BF49" s="112"/>
      <c r="BG49" s="112"/>
      <c r="BH49" s="112" t="str">
        <f>BH48/$A$49</f>
        <v>#DIV/0!</v>
      </c>
      <c r="BI49" s="112"/>
      <c r="BJ49" s="112"/>
      <c r="BK49" s="112" t="str">
        <f>BK48/$A$49</f>
        <v>#DIV/0!</v>
      </c>
      <c r="BL49" s="112"/>
      <c r="BM49" s="112"/>
      <c r="BN49" s="112" t="str">
        <f>BN48/$A$49</f>
        <v>#DIV/0!</v>
      </c>
      <c r="BO49" s="112"/>
      <c r="BP49" s="112"/>
      <c r="BQ49" s="112"/>
      <c r="BR49" s="112" t="str">
        <f>BR48/$A$49</f>
        <v>#DIV/0!</v>
      </c>
      <c r="BS49" s="101"/>
      <c r="BT49" s="112"/>
      <c r="BU49" s="91"/>
      <c r="BV49" s="111" t="s">
        <v>90</v>
      </c>
      <c r="BW49" s="112" t="str">
        <f>BW48/$A$49</f>
        <v>#DIV/0!</v>
      </c>
      <c r="BX49" s="112"/>
      <c r="BY49" s="112"/>
      <c r="BZ49" s="112" t="str">
        <f>BZ48/$A$49</f>
        <v>#DIV/0!</v>
      </c>
      <c r="CA49" s="112"/>
      <c r="CB49" s="112"/>
      <c r="CC49" s="112" t="str">
        <f>CC48/$A$49</f>
        <v>#DIV/0!</v>
      </c>
      <c r="CD49" s="112"/>
      <c r="CE49" s="112"/>
      <c r="CF49" s="112" t="str">
        <f>CF48/$A$49</f>
        <v>#DIV/0!</v>
      </c>
      <c r="CG49" s="112"/>
      <c r="CH49" s="112"/>
      <c r="CI49" s="112" t="str">
        <f>CI48/$A$49</f>
        <v>#DIV/0!</v>
      </c>
      <c r="CJ49" s="112"/>
      <c r="CK49" s="112"/>
      <c r="CL49" s="112" t="str">
        <f>CL48/$A$49</f>
        <v>#DIV/0!</v>
      </c>
      <c r="CM49" s="112"/>
      <c r="CN49" s="112"/>
      <c r="CO49" s="112"/>
      <c r="CP49" s="112" t="str">
        <f>CP48/$A$49</f>
        <v>#DIV/0!</v>
      </c>
      <c r="CQ49" s="101"/>
      <c r="CR49" s="112"/>
      <c r="CS49" s="91"/>
      <c r="CT49" s="111" t="s">
        <v>90</v>
      </c>
      <c r="CU49" s="112" t="str">
        <f>CU48/$A$49</f>
        <v>#DIV/0!</v>
      </c>
      <c r="CV49" s="112"/>
      <c r="CW49" s="112"/>
      <c r="CX49" s="112" t="str">
        <f>CX48/$A$49</f>
        <v>#DIV/0!</v>
      </c>
      <c r="CY49" s="112"/>
      <c r="CZ49" s="112"/>
      <c r="DA49" s="112" t="str">
        <f>DA48/$A$49</f>
        <v>#DIV/0!</v>
      </c>
      <c r="DB49" s="112"/>
      <c r="DC49" s="112"/>
      <c r="DD49" s="112" t="str">
        <f>DD48/$A$49</f>
        <v>#DIV/0!</v>
      </c>
      <c r="DE49" s="112"/>
      <c r="DF49" s="112"/>
      <c r="DG49" s="112" t="str">
        <f>DG48/$A$49</f>
        <v>#DIV/0!</v>
      </c>
      <c r="DH49" s="112"/>
      <c r="DI49" s="112"/>
      <c r="DJ49" s="112" t="str">
        <f>DJ48/$A$49</f>
        <v>#DIV/0!</v>
      </c>
      <c r="DK49" s="112"/>
      <c r="DL49" s="112"/>
      <c r="DM49" s="112"/>
      <c r="DN49" s="112" t="str">
        <f>DN48/$A$49</f>
        <v>#DIV/0!</v>
      </c>
      <c r="DO49" s="101"/>
      <c r="DP49" s="112"/>
      <c r="DQ49" s="91"/>
      <c r="DR49" s="111" t="s">
        <v>90</v>
      </c>
      <c r="DS49" s="112" t="str">
        <f>DS48/$A$49</f>
        <v>#DIV/0!</v>
      </c>
      <c r="DT49" s="112"/>
      <c r="DU49" s="112"/>
      <c r="DV49" s="112" t="str">
        <f>DV48/$A$49</f>
        <v>#DIV/0!</v>
      </c>
      <c r="DW49" s="112"/>
      <c r="DX49" s="112"/>
      <c r="DY49" s="112" t="str">
        <f>DY48/$A$49</f>
        <v>#DIV/0!</v>
      </c>
      <c r="DZ49" s="112"/>
      <c r="EA49" s="112"/>
      <c r="EB49" s="112" t="str">
        <f>EB48/$A$49</f>
        <v>#DIV/0!</v>
      </c>
      <c r="EC49" s="112"/>
      <c r="ED49" s="112"/>
      <c r="EE49" s="112" t="str">
        <f>EE48/$A$49</f>
        <v>#DIV/0!</v>
      </c>
      <c r="EF49" s="112"/>
      <c r="EG49" s="112"/>
      <c r="EH49" s="112" t="str">
        <f>EH48/$A$49</f>
        <v>#DIV/0!</v>
      </c>
      <c r="EI49" s="112"/>
      <c r="EJ49" s="112"/>
      <c r="EK49" s="112"/>
      <c r="EL49" s="112" t="str">
        <f>EL48/$A$49</f>
        <v>#DIV/0!</v>
      </c>
      <c r="EM49" s="101"/>
      <c r="EN49" s="112"/>
      <c r="EO49" s="91"/>
      <c r="EP49" s="111" t="s">
        <v>90</v>
      </c>
      <c r="EQ49" s="112" t="str">
        <f>EQ48/$A$49</f>
        <v>#DIV/0!</v>
      </c>
      <c r="ER49" s="112"/>
      <c r="ES49" s="112"/>
      <c r="ET49" s="112" t="str">
        <f>ET48/$A$49</f>
        <v>#DIV/0!</v>
      </c>
      <c r="EU49" s="112"/>
      <c r="EV49" s="112"/>
      <c r="EW49" s="112" t="str">
        <f>EW48/$A$49</f>
        <v>#DIV/0!</v>
      </c>
      <c r="EX49" s="112"/>
      <c r="EY49" s="112"/>
      <c r="EZ49" s="112" t="str">
        <f>EZ48/$A$49</f>
        <v>#DIV/0!</v>
      </c>
      <c r="FA49" s="112"/>
      <c r="FB49" s="112"/>
      <c r="FC49" s="112" t="str">
        <f>FC48/$A$49</f>
        <v>#DIV/0!</v>
      </c>
      <c r="FD49" s="112"/>
      <c r="FE49" s="112"/>
      <c r="FF49" s="112" t="str">
        <f>FF48/$A$49</f>
        <v>#DIV/0!</v>
      </c>
      <c r="FG49" s="112"/>
      <c r="FH49" s="112"/>
      <c r="FI49" s="112"/>
      <c r="FJ49" s="112" t="str">
        <f>FJ48/$A$49</f>
        <v>#DIV/0!</v>
      </c>
      <c r="FK49" s="101"/>
      <c r="FL49" s="112"/>
      <c r="FM49" s="91"/>
      <c r="FN49" s="111" t="s">
        <v>90</v>
      </c>
      <c r="FO49" s="112" t="str">
        <f>FO48/$A$49</f>
        <v>#DIV/0!</v>
      </c>
      <c r="FP49" s="112"/>
      <c r="FQ49" s="112"/>
      <c r="FR49" s="112" t="str">
        <f>FR48/$A$49</f>
        <v>#DIV/0!</v>
      </c>
      <c r="FS49" s="112"/>
      <c r="FT49" s="112"/>
      <c r="FU49" s="112" t="str">
        <f>FU48/$A$49</f>
        <v>#DIV/0!</v>
      </c>
      <c r="FV49" s="112"/>
      <c r="FW49" s="112"/>
      <c r="FX49" s="112" t="str">
        <f>FX48/$A$49</f>
        <v>#DIV/0!</v>
      </c>
      <c r="FY49" s="112"/>
      <c r="FZ49" s="112"/>
      <c r="GA49" s="112" t="str">
        <f>GA48/$A$49</f>
        <v>#DIV/0!</v>
      </c>
      <c r="GB49" s="112"/>
      <c r="GC49" s="112"/>
      <c r="GD49" s="112" t="str">
        <f>GD48/$A$49</f>
        <v>#DIV/0!</v>
      </c>
      <c r="GE49" s="112"/>
      <c r="GF49" s="112"/>
      <c r="GG49" s="112"/>
      <c r="GH49" s="112" t="str">
        <f>GH48/$A$49</f>
        <v>#DIV/0!</v>
      </c>
      <c r="GI49" s="101"/>
      <c r="GJ49" s="112"/>
      <c r="GK49" s="91"/>
      <c r="GL49" s="111" t="s">
        <v>90</v>
      </c>
      <c r="GM49" s="112" t="str">
        <f>GM48/$A$49</f>
        <v>#DIV/0!</v>
      </c>
      <c r="GN49" s="112"/>
      <c r="GO49" s="112"/>
      <c r="GP49" s="112" t="str">
        <f>GP48/$A$49</f>
        <v>#DIV/0!</v>
      </c>
      <c r="GQ49" s="112"/>
      <c r="GR49" s="112"/>
      <c r="GS49" s="112" t="str">
        <f>GS48/$A$49</f>
        <v>#DIV/0!</v>
      </c>
      <c r="GT49" s="112"/>
      <c r="GU49" s="112"/>
      <c r="GV49" s="112"/>
      <c r="GW49" s="112" t="str">
        <f>GW48/$A$49</f>
        <v>#DIV/0!</v>
      </c>
      <c r="GX49" s="101"/>
      <c r="GY49" s="112"/>
      <c r="GZ49" s="91"/>
      <c r="HA49" s="111" t="s">
        <v>90</v>
      </c>
      <c r="HB49" s="112" t="str">
        <f>HB48/$A$49</f>
        <v>#DIV/0!</v>
      </c>
      <c r="HC49" s="112"/>
      <c r="HD49" s="112"/>
      <c r="HE49" s="112" t="str">
        <f>HE48/$A$49</f>
        <v>#DIV/0!</v>
      </c>
      <c r="HF49" s="112"/>
      <c r="HG49" s="112"/>
      <c r="HH49" s="112" t="str">
        <f>HH48/$A$49</f>
        <v>#DIV/0!</v>
      </c>
      <c r="HI49" s="112"/>
      <c r="HJ49" s="112"/>
      <c r="HK49" s="112"/>
      <c r="HL49" s="112" t="str">
        <f>HL48/$A$49</f>
        <v>#DIV/0!</v>
      </c>
      <c r="HM49" s="101"/>
      <c r="HN49" s="101"/>
      <c r="HO49" s="91"/>
      <c r="HP49" s="111" t="s">
        <v>90</v>
      </c>
      <c r="HQ49" s="112" t="str">
        <f>HQ48/$A$49</f>
        <v>#DIV/0!</v>
      </c>
      <c r="HR49" s="112"/>
      <c r="HS49" s="112"/>
      <c r="HT49" s="112" t="str">
        <f>HT48/$A$49</f>
        <v>#DIV/0!</v>
      </c>
      <c r="HU49" s="112"/>
      <c r="HV49" s="112"/>
      <c r="HW49" s="112" t="str">
        <f>HW48/$A$49</f>
        <v>#DIV/0!</v>
      </c>
      <c r="HX49" s="112"/>
      <c r="HY49" s="112"/>
      <c r="HZ49" s="112"/>
      <c r="IA49" s="112" t="str">
        <f>IA48/$A$49</f>
        <v>#DIV/0!</v>
      </c>
      <c r="IB49" s="101"/>
      <c r="IC49" s="101"/>
    </row>
    <row r="50">
      <c r="A50" s="91"/>
      <c r="B50" s="91"/>
      <c r="C50" s="91"/>
      <c r="D50" s="91"/>
      <c r="E50" s="91"/>
      <c r="G50" s="91"/>
      <c r="H50" s="91"/>
      <c r="I50" s="91"/>
      <c r="J50" s="91"/>
      <c r="K50" s="91"/>
      <c r="L50" s="91"/>
      <c r="M50" s="94"/>
      <c r="N50" s="94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1"/>
      <c r="AC50" s="91"/>
      <c r="AE50" s="91"/>
      <c r="AF50" s="91"/>
      <c r="AG50" s="91"/>
      <c r="AH50" s="91"/>
      <c r="AI50" s="91"/>
      <c r="AJ50" s="91"/>
      <c r="AK50" s="94"/>
      <c r="AL50" s="94"/>
      <c r="AM50" s="91"/>
      <c r="AN50" s="91"/>
      <c r="AO50" s="91"/>
      <c r="AP50" s="91"/>
      <c r="AQ50" s="91"/>
      <c r="AR50" s="91"/>
      <c r="AS50" s="91"/>
      <c r="AT50" s="91"/>
      <c r="AU50" s="91"/>
      <c r="AV50" s="94"/>
      <c r="AW50" s="91"/>
      <c r="AX50" s="91"/>
      <c r="AY50" s="91"/>
      <c r="AZ50" s="91"/>
      <c r="BA50" s="91"/>
      <c r="BC50" s="91"/>
      <c r="BD50" s="91"/>
      <c r="BE50" s="91"/>
      <c r="BF50" s="91"/>
      <c r="BG50" s="91"/>
      <c r="BH50" s="91"/>
      <c r="BI50" s="94"/>
      <c r="BJ50" s="94"/>
      <c r="BK50" s="91"/>
      <c r="BL50" s="91"/>
      <c r="BM50" s="91"/>
      <c r="BN50" s="91"/>
      <c r="BO50" s="91"/>
      <c r="BP50" s="91"/>
      <c r="BQ50" s="91"/>
      <c r="BR50" s="91"/>
      <c r="BS50" s="91"/>
      <c r="BT50" s="94"/>
      <c r="BU50" s="94"/>
      <c r="BV50" s="91"/>
      <c r="BW50" s="91"/>
      <c r="BX50" s="91"/>
      <c r="BY50" s="91"/>
      <c r="BZ50" s="91"/>
      <c r="CA50" s="91"/>
      <c r="CB50" s="91"/>
      <c r="CC50" s="91"/>
      <c r="CD50" s="91"/>
      <c r="CE50" s="91"/>
      <c r="CF50" s="91"/>
      <c r="CG50" s="91"/>
      <c r="CH50" s="91"/>
      <c r="CI50" s="91"/>
      <c r="CJ50" s="91"/>
      <c r="CK50" s="91"/>
      <c r="CL50" s="91"/>
      <c r="CM50" s="91"/>
      <c r="CN50" s="91"/>
      <c r="CO50" s="91"/>
      <c r="CP50" s="91"/>
      <c r="CQ50" s="91"/>
      <c r="CR50" s="94"/>
      <c r="CS50" s="94"/>
      <c r="CT50" s="91"/>
      <c r="CU50" s="91"/>
      <c r="CV50" s="91"/>
      <c r="CW50" s="91"/>
      <c r="CX50" s="91"/>
      <c r="CY50" s="91"/>
      <c r="CZ50" s="91"/>
      <c r="DA50" s="91"/>
      <c r="DB50" s="91"/>
      <c r="DC50" s="91"/>
      <c r="DD50" s="91"/>
      <c r="DE50" s="91"/>
      <c r="DF50" s="91"/>
      <c r="DG50" s="91"/>
      <c r="DH50" s="91"/>
      <c r="DI50" s="91"/>
      <c r="DJ50" s="91"/>
      <c r="DK50" s="91"/>
      <c r="DL50" s="91"/>
      <c r="DM50" s="91"/>
      <c r="DN50" s="91"/>
      <c r="DO50" s="91"/>
      <c r="DP50" s="94"/>
      <c r="DQ50" s="94"/>
      <c r="DR50" s="91"/>
      <c r="DS50" s="91"/>
      <c r="DT50" s="91"/>
      <c r="DU50" s="91"/>
      <c r="DV50" s="91"/>
      <c r="DW50" s="91"/>
      <c r="DX50" s="91"/>
      <c r="DY50" s="91"/>
      <c r="DZ50" s="91"/>
      <c r="EA50" s="91"/>
      <c r="EB50" s="91"/>
      <c r="EC50" s="91"/>
      <c r="ED50" s="91"/>
      <c r="EE50" s="91"/>
      <c r="EF50" s="91"/>
      <c r="EG50" s="91"/>
      <c r="EH50" s="91"/>
      <c r="EI50" s="91"/>
      <c r="EJ50" s="91"/>
      <c r="EK50" s="91"/>
      <c r="EL50" s="91"/>
      <c r="EM50" s="91"/>
      <c r="EN50" s="94"/>
      <c r="EO50" s="94"/>
      <c r="EP50" s="91"/>
      <c r="EQ50" s="91"/>
      <c r="ER50" s="91"/>
      <c r="ES50" s="91"/>
      <c r="ET50" s="91"/>
      <c r="EU50" s="91"/>
      <c r="EV50" s="91"/>
      <c r="EW50" s="91"/>
      <c r="EX50" s="91"/>
      <c r="EY50" s="91"/>
      <c r="EZ50" s="91"/>
      <c r="FA50" s="91"/>
      <c r="FB50" s="91"/>
      <c r="FC50" s="91"/>
      <c r="FD50" s="91"/>
      <c r="FE50" s="91"/>
      <c r="FF50" s="91"/>
      <c r="FG50" s="91"/>
      <c r="FH50" s="91"/>
      <c r="FI50" s="91"/>
      <c r="FJ50" s="91"/>
      <c r="FK50" s="91"/>
      <c r="FL50" s="94"/>
      <c r="FM50" s="94"/>
      <c r="FN50" s="91"/>
      <c r="FO50" s="91"/>
      <c r="FP50" s="91"/>
      <c r="FQ50" s="91"/>
      <c r="FR50" s="91"/>
      <c r="FS50" s="91"/>
      <c r="FT50" s="91"/>
      <c r="FU50" s="91"/>
      <c r="FV50" s="91"/>
      <c r="FW50" s="91"/>
      <c r="FX50" s="91"/>
      <c r="FY50" s="91"/>
      <c r="FZ50" s="91"/>
      <c r="GA50" s="91"/>
      <c r="GB50" s="91"/>
      <c r="GC50" s="91"/>
      <c r="GD50" s="91"/>
      <c r="GE50" s="91"/>
      <c r="GF50" s="91"/>
      <c r="GG50" s="91"/>
      <c r="GH50" s="91"/>
      <c r="GI50" s="91"/>
      <c r="GJ50" s="94"/>
      <c r="GK50" s="94"/>
      <c r="GL50" s="91"/>
      <c r="GM50" s="91"/>
      <c r="GN50" s="91"/>
      <c r="GO50" s="91"/>
      <c r="GP50" s="91"/>
      <c r="GQ50" s="91"/>
      <c r="GR50" s="91"/>
      <c r="GS50" s="91"/>
      <c r="GT50" s="91"/>
      <c r="GU50" s="91"/>
      <c r="GV50" s="91"/>
      <c r="GW50" s="91"/>
      <c r="GX50" s="91"/>
      <c r="GY50" s="94"/>
      <c r="GZ50" s="94"/>
      <c r="HA50" s="91"/>
      <c r="HB50" s="91"/>
      <c r="HC50" s="91"/>
      <c r="HD50" s="91"/>
      <c r="HE50" s="91"/>
      <c r="HF50" s="91"/>
      <c r="HG50" s="91"/>
      <c r="HH50" s="91"/>
      <c r="HI50" s="91"/>
      <c r="HJ50" s="91"/>
      <c r="HK50" s="91"/>
      <c r="HL50" s="91"/>
      <c r="HM50" s="91"/>
      <c r="HN50" s="91"/>
      <c r="HO50" s="94"/>
      <c r="HP50" s="91"/>
      <c r="HQ50" s="91"/>
      <c r="HR50" s="91"/>
      <c r="HS50" s="91"/>
      <c r="HT50" s="91"/>
      <c r="HU50" s="91"/>
      <c r="HV50" s="91"/>
      <c r="HW50" s="91"/>
      <c r="HX50" s="91"/>
      <c r="HY50" s="91"/>
      <c r="HZ50" s="91"/>
      <c r="IA50" s="91"/>
      <c r="IB50" s="91"/>
      <c r="IC50" s="91"/>
    </row>
    <row r="51">
      <c r="A51" s="91"/>
      <c r="B51" s="91"/>
      <c r="C51" s="91"/>
      <c r="D51" s="91"/>
      <c r="E51" s="91"/>
      <c r="G51" s="91"/>
      <c r="H51" s="91"/>
      <c r="I51" s="91"/>
      <c r="J51" s="91"/>
      <c r="K51" s="91"/>
      <c r="L51" s="91"/>
      <c r="M51" s="94"/>
      <c r="N51" s="94"/>
      <c r="O51" s="91"/>
      <c r="P51" s="91"/>
      <c r="Q51" s="91"/>
      <c r="R51" s="91"/>
      <c r="S51" s="91"/>
      <c r="T51" s="91"/>
      <c r="U51" s="91"/>
      <c r="V51" s="91"/>
      <c r="W51" s="91"/>
      <c r="X51" s="91"/>
      <c r="Y51" s="91"/>
      <c r="Z51" s="91"/>
      <c r="AA51" s="91"/>
      <c r="AB51" s="91"/>
      <c r="AC51" s="91"/>
      <c r="AE51" s="91"/>
      <c r="AF51" s="91"/>
      <c r="AG51" s="91"/>
      <c r="AH51" s="91"/>
      <c r="AI51" s="91"/>
      <c r="AJ51" s="91"/>
      <c r="AK51" s="94"/>
      <c r="AL51" s="94"/>
      <c r="AM51" s="91"/>
      <c r="AN51" s="91"/>
      <c r="AO51" s="91"/>
      <c r="AP51" s="91"/>
      <c r="AQ51" s="91"/>
      <c r="AR51" s="91"/>
      <c r="AS51" s="91"/>
      <c r="AT51" s="91"/>
      <c r="AU51" s="91"/>
      <c r="AV51" s="94"/>
      <c r="AW51" s="91"/>
      <c r="AX51" s="91"/>
      <c r="AY51" s="91"/>
      <c r="AZ51" s="91"/>
      <c r="BA51" s="91"/>
      <c r="BB51" s="91"/>
      <c r="BC51" s="91"/>
      <c r="BD51" s="91"/>
      <c r="BE51" s="91"/>
      <c r="BF51" s="91"/>
      <c r="BG51" s="91"/>
      <c r="BH51" s="91"/>
      <c r="BI51" s="91"/>
      <c r="BJ51" s="91"/>
      <c r="BK51" s="91"/>
      <c r="BL51" s="91"/>
      <c r="BM51" s="91"/>
      <c r="BN51" s="91"/>
      <c r="BO51" s="91"/>
      <c r="BP51" s="91"/>
      <c r="BQ51" s="91"/>
      <c r="BR51" s="91"/>
      <c r="BS51" s="91"/>
      <c r="BT51" s="91"/>
      <c r="BU51" s="94"/>
      <c r="BV51" s="91"/>
      <c r="BW51" s="91"/>
      <c r="BX51" s="91"/>
      <c r="BY51" s="91"/>
      <c r="BZ51" s="91"/>
      <c r="CA51" s="91"/>
      <c r="CB51" s="91"/>
      <c r="CC51" s="91"/>
      <c r="CD51" s="91"/>
      <c r="CE51" s="91"/>
      <c r="CF51" s="91"/>
      <c r="CG51" s="91"/>
      <c r="CH51" s="91"/>
      <c r="CI51" s="91"/>
      <c r="CJ51" s="91"/>
      <c r="CK51" s="91"/>
      <c r="CL51" s="91"/>
      <c r="CM51" s="91"/>
      <c r="CN51" s="91"/>
      <c r="CO51" s="91"/>
      <c r="CP51" s="91"/>
      <c r="CQ51" s="91"/>
      <c r="CR51" s="91"/>
      <c r="CS51" s="91"/>
      <c r="CT51" s="91"/>
      <c r="CU51" s="91"/>
      <c r="CV51" s="91"/>
      <c r="CW51" s="91"/>
      <c r="CX51" s="91"/>
      <c r="CY51" s="91"/>
      <c r="CZ51" s="91"/>
      <c r="DA51" s="91"/>
      <c r="DB51" s="91"/>
      <c r="DC51" s="91"/>
      <c r="DD51" s="91"/>
      <c r="DE51" s="91"/>
      <c r="DF51" s="91"/>
      <c r="DG51" s="91"/>
      <c r="DH51" s="91"/>
      <c r="DI51" s="91"/>
      <c r="DJ51" s="91"/>
      <c r="DK51" s="91"/>
      <c r="DL51" s="91"/>
      <c r="DM51" s="91"/>
      <c r="DN51" s="91"/>
      <c r="DO51" s="91"/>
      <c r="DP51" s="91"/>
      <c r="DQ51" s="91"/>
      <c r="DR51" s="91"/>
      <c r="DS51" s="91"/>
      <c r="DT51" s="91"/>
      <c r="DU51" s="91"/>
      <c r="DV51" s="91"/>
      <c r="DW51" s="91"/>
      <c r="DX51" s="91"/>
      <c r="DY51" s="91"/>
      <c r="DZ51" s="91"/>
      <c r="EA51" s="91"/>
      <c r="EB51" s="91"/>
      <c r="EC51" s="91"/>
      <c r="ED51" s="91"/>
      <c r="EE51" s="91"/>
      <c r="EF51" s="91"/>
      <c r="EG51" s="91"/>
      <c r="EH51" s="91"/>
      <c r="EI51" s="91"/>
      <c r="EJ51" s="91"/>
      <c r="EK51" s="91"/>
      <c r="EL51" s="91"/>
      <c r="EM51" s="91"/>
      <c r="EN51" s="91"/>
      <c r="EO51" s="91"/>
      <c r="EP51" s="91"/>
      <c r="EQ51" s="91"/>
      <c r="ER51" s="91"/>
      <c r="ES51" s="91"/>
      <c r="ET51" s="91"/>
      <c r="EU51" s="91"/>
      <c r="EV51" s="91"/>
      <c r="EW51" s="91"/>
      <c r="EX51" s="91"/>
      <c r="EY51" s="91"/>
      <c r="EZ51" s="91"/>
      <c r="FA51" s="91"/>
      <c r="FB51" s="91"/>
      <c r="FC51" s="91"/>
      <c r="FD51" s="91"/>
      <c r="FE51" s="91"/>
      <c r="FF51" s="91"/>
      <c r="FG51" s="91"/>
      <c r="FH51" s="91"/>
      <c r="FI51" s="91"/>
      <c r="FJ51" s="91"/>
      <c r="FK51" s="91"/>
      <c r="FL51" s="91"/>
      <c r="FM51" s="91"/>
      <c r="FN51" s="91"/>
      <c r="FO51" s="91"/>
      <c r="FP51" s="91"/>
      <c r="FQ51" s="91"/>
      <c r="FR51" s="91"/>
      <c r="FS51" s="91"/>
      <c r="FT51" s="91"/>
      <c r="FU51" s="91"/>
      <c r="FV51" s="91"/>
      <c r="FW51" s="91"/>
      <c r="FX51" s="91"/>
      <c r="FY51" s="91"/>
      <c r="FZ51" s="91"/>
      <c r="GA51" s="91"/>
      <c r="GB51" s="91"/>
      <c r="GC51" s="91"/>
      <c r="GD51" s="91"/>
      <c r="GE51" s="91"/>
      <c r="GF51" s="91"/>
      <c r="GG51" s="91"/>
      <c r="GH51" s="91"/>
      <c r="GI51" s="91"/>
      <c r="GJ51" s="91"/>
      <c r="GK51" s="91"/>
      <c r="GL51" s="91"/>
      <c r="GM51" s="91"/>
      <c r="GN51" s="91"/>
      <c r="GO51" s="91"/>
      <c r="GP51" s="91"/>
      <c r="GQ51" s="91"/>
      <c r="GR51" s="91"/>
      <c r="GS51" s="91"/>
      <c r="GT51" s="91"/>
      <c r="GU51" s="91"/>
      <c r="GV51" s="91"/>
      <c r="GW51" s="91"/>
      <c r="GX51" s="91"/>
      <c r="GY51" s="91"/>
      <c r="GZ51" s="91"/>
      <c r="HA51" s="91"/>
      <c r="HB51" s="91"/>
      <c r="HC51" s="91"/>
      <c r="HD51" s="91"/>
      <c r="HE51" s="91"/>
      <c r="HF51" s="91"/>
      <c r="HG51" s="91"/>
      <c r="HH51" s="91"/>
      <c r="HI51" s="91"/>
      <c r="HJ51" s="91"/>
      <c r="HK51" s="91"/>
      <c r="HL51" s="91"/>
      <c r="HM51" s="91"/>
      <c r="HN51" s="91"/>
      <c r="HO51" s="91"/>
      <c r="HP51" s="91"/>
      <c r="HQ51" s="91"/>
      <c r="HR51" s="91"/>
      <c r="HS51" s="91"/>
      <c r="HT51" s="91"/>
      <c r="HU51" s="91"/>
      <c r="HV51" s="91"/>
      <c r="HW51" s="91"/>
      <c r="HX51" s="91"/>
      <c r="HY51" s="91"/>
      <c r="HZ51" s="91"/>
      <c r="IA51" s="91"/>
      <c r="IB51" s="91"/>
      <c r="IC51" s="91"/>
    </row>
    <row r="52">
      <c r="A52" s="91"/>
      <c r="B52" s="91"/>
      <c r="C52" s="91"/>
      <c r="D52" s="91"/>
      <c r="E52" s="91"/>
      <c r="G52" s="91"/>
      <c r="H52" s="91"/>
      <c r="I52" s="91"/>
      <c r="J52" s="91"/>
      <c r="K52" s="91"/>
      <c r="L52" s="91"/>
      <c r="M52" s="94"/>
      <c r="N52" s="94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  <c r="AA52" s="91"/>
      <c r="AB52" s="91"/>
      <c r="AC52" s="91"/>
      <c r="AE52" s="91"/>
      <c r="AF52" s="91"/>
      <c r="AG52" s="91"/>
      <c r="AH52" s="91"/>
      <c r="AI52" s="91"/>
      <c r="AJ52" s="91"/>
      <c r="AK52" s="94"/>
      <c r="AL52" s="94"/>
      <c r="AM52" s="91"/>
      <c r="AN52" s="91"/>
      <c r="AO52" s="91"/>
      <c r="AP52" s="91"/>
      <c r="AQ52" s="91"/>
      <c r="AR52" s="91"/>
      <c r="AS52" s="91"/>
      <c r="AT52" s="91"/>
      <c r="AU52" s="91"/>
      <c r="AV52" s="94"/>
      <c r="AW52" s="91"/>
      <c r="AX52" s="91"/>
      <c r="AY52" s="91"/>
      <c r="AZ52" s="91"/>
      <c r="BA52" s="91"/>
      <c r="BB52" s="91"/>
      <c r="BC52" s="91"/>
      <c r="BD52" s="91"/>
      <c r="BE52" s="91"/>
      <c r="BF52" s="91"/>
      <c r="BG52" s="91"/>
      <c r="BH52" s="91"/>
      <c r="BI52" s="91"/>
      <c r="BJ52" s="91"/>
      <c r="BK52" s="91"/>
      <c r="BL52" s="91"/>
      <c r="BM52" s="91"/>
      <c r="BN52" s="91"/>
      <c r="BO52" s="91"/>
      <c r="BP52" s="91"/>
      <c r="BQ52" s="91"/>
      <c r="BR52" s="91"/>
      <c r="BS52" s="91"/>
      <c r="BT52" s="91"/>
      <c r="BU52" s="94"/>
      <c r="BV52" s="91"/>
      <c r="BW52" s="91"/>
      <c r="BX52" s="91"/>
      <c r="BY52" s="91"/>
      <c r="BZ52" s="91"/>
      <c r="CA52" s="91"/>
      <c r="CB52" s="91"/>
      <c r="CC52" s="91"/>
      <c r="CD52" s="91"/>
      <c r="CE52" s="91"/>
      <c r="CF52" s="91"/>
      <c r="CG52" s="91"/>
      <c r="CH52" s="91"/>
      <c r="CI52" s="91"/>
      <c r="CJ52" s="91"/>
      <c r="CK52" s="91"/>
      <c r="CL52" s="91"/>
      <c r="CM52" s="91"/>
      <c r="CN52" s="91"/>
      <c r="CO52" s="91"/>
      <c r="CP52" s="91"/>
      <c r="CQ52" s="91"/>
      <c r="CR52" s="91"/>
      <c r="CS52" s="91"/>
      <c r="CT52" s="91"/>
      <c r="CU52" s="91"/>
      <c r="CV52" s="91"/>
      <c r="CW52" s="91"/>
      <c r="CX52" s="91"/>
      <c r="CY52" s="91"/>
      <c r="CZ52" s="91"/>
      <c r="DA52" s="91"/>
      <c r="DB52" s="91"/>
      <c r="DC52" s="91"/>
      <c r="DD52" s="91"/>
      <c r="DE52" s="91"/>
      <c r="DF52" s="91"/>
      <c r="DG52" s="91"/>
      <c r="DH52" s="91"/>
      <c r="DI52" s="91"/>
      <c r="DJ52" s="91"/>
      <c r="DK52" s="91"/>
      <c r="DL52" s="91"/>
      <c r="DM52" s="91"/>
      <c r="DN52" s="91"/>
      <c r="DO52" s="91"/>
      <c r="DP52" s="91"/>
      <c r="DQ52" s="91"/>
      <c r="DR52" s="91"/>
      <c r="DS52" s="91"/>
      <c r="DT52" s="91"/>
      <c r="DU52" s="91"/>
      <c r="DV52" s="91"/>
      <c r="DW52" s="91"/>
      <c r="DX52" s="91"/>
      <c r="DY52" s="91"/>
      <c r="DZ52" s="91"/>
      <c r="EA52" s="91"/>
      <c r="EB52" s="91"/>
      <c r="EC52" s="91"/>
      <c r="ED52" s="91"/>
      <c r="EE52" s="91"/>
      <c r="EF52" s="91"/>
      <c r="EG52" s="91"/>
      <c r="EH52" s="91"/>
      <c r="EI52" s="91"/>
      <c r="EJ52" s="91"/>
      <c r="EK52" s="91"/>
      <c r="EL52" s="91"/>
      <c r="EM52" s="91"/>
      <c r="EN52" s="91"/>
      <c r="EO52" s="91"/>
      <c r="EP52" s="91"/>
      <c r="EQ52" s="91"/>
      <c r="ER52" s="91"/>
      <c r="ES52" s="91"/>
      <c r="ET52" s="91"/>
      <c r="EU52" s="91"/>
      <c r="EV52" s="91"/>
      <c r="EW52" s="91"/>
      <c r="EX52" s="91"/>
      <c r="EY52" s="91"/>
      <c r="EZ52" s="91"/>
      <c r="FA52" s="91"/>
      <c r="FB52" s="91"/>
      <c r="FC52" s="91"/>
      <c r="FD52" s="91"/>
      <c r="FE52" s="91"/>
      <c r="FF52" s="91"/>
      <c r="FG52" s="91"/>
      <c r="FH52" s="91"/>
      <c r="FI52" s="91"/>
      <c r="FJ52" s="91"/>
      <c r="FK52" s="91"/>
      <c r="FL52" s="91"/>
      <c r="FM52" s="91"/>
      <c r="FN52" s="91"/>
      <c r="FO52" s="91"/>
      <c r="FP52" s="91"/>
      <c r="FQ52" s="91"/>
      <c r="FR52" s="91"/>
      <c r="FS52" s="91"/>
      <c r="FT52" s="91"/>
      <c r="FU52" s="91"/>
      <c r="FV52" s="91"/>
      <c r="FW52" s="91"/>
      <c r="FX52" s="91"/>
      <c r="FY52" s="91"/>
      <c r="FZ52" s="91"/>
      <c r="GA52" s="91"/>
      <c r="GB52" s="91"/>
      <c r="GC52" s="91"/>
      <c r="GD52" s="91"/>
      <c r="GE52" s="91"/>
      <c r="GF52" s="91"/>
      <c r="GG52" s="91"/>
      <c r="GH52" s="91"/>
      <c r="GI52" s="91"/>
      <c r="GJ52" s="91"/>
      <c r="GK52" s="91"/>
      <c r="GL52" s="91"/>
      <c r="GM52" s="91"/>
      <c r="GN52" s="91"/>
      <c r="GO52" s="91"/>
      <c r="GP52" s="91"/>
      <c r="GQ52" s="91"/>
      <c r="GR52" s="91"/>
      <c r="GS52" s="91"/>
      <c r="GT52" s="91"/>
      <c r="GU52" s="91"/>
      <c r="GV52" s="91"/>
      <c r="GW52" s="91"/>
      <c r="GX52" s="91"/>
      <c r="GY52" s="91"/>
      <c r="GZ52" s="91"/>
      <c r="HA52" s="91"/>
      <c r="HB52" s="91"/>
      <c r="HC52" s="91"/>
      <c r="HD52" s="91"/>
      <c r="HE52" s="91"/>
      <c r="HF52" s="91"/>
      <c r="HG52" s="91"/>
      <c r="HH52" s="91"/>
      <c r="HI52" s="91"/>
      <c r="HJ52" s="91"/>
      <c r="HK52" s="91"/>
      <c r="HL52" s="91"/>
      <c r="HM52" s="91"/>
      <c r="HN52" s="91"/>
      <c r="HO52" s="91"/>
      <c r="HP52" s="91"/>
      <c r="HQ52" s="91"/>
      <c r="HR52" s="91"/>
      <c r="HS52" s="91"/>
      <c r="HT52" s="91"/>
      <c r="HU52" s="91"/>
      <c r="HV52" s="91"/>
      <c r="HW52" s="91"/>
      <c r="HX52" s="91"/>
      <c r="HY52" s="91"/>
      <c r="HZ52" s="91"/>
      <c r="IA52" s="91"/>
      <c r="IB52" s="91"/>
      <c r="IC52" s="91"/>
    </row>
  </sheetData>
  <mergeCells count="13">
    <mergeCell ref="DS2:EM2"/>
    <mergeCell ref="EQ2:FK2"/>
    <mergeCell ref="FO2:GI2"/>
    <mergeCell ref="GM2:GX2"/>
    <mergeCell ref="HB2:HM2"/>
    <mergeCell ref="HQ2:IB2"/>
    <mergeCell ref="A1:A3"/>
    <mergeCell ref="C1:IC1"/>
    <mergeCell ref="C2:W2"/>
    <mergeCell ref="AA2:AU2"/>
    <mergeCell ref="AY2:BS2"/>
    <mergeCell ref="BW2:CQ2"/>
    <mergeCell ref="CU2:DO2"/>
  </mergeCells>
  <conditionalFormatting sqref="C4:C31 F4:F31 I4:I31 L4:L31 O4:O31 R4:R31 AA4:AA31 AC4:AD31 AG4:AG31 AJ4:AJ31 AM4:AM31 AP4:AP31 AS4:AS31 AY4:AY31 BA4:BC31 BE4:BE31 BH4:BI31 BK4:BK31 BN4:BN31 BQ4:BT31 BW4:BW31 BY4:CA31 CC4:CC31 CF4:CG31 CI4:CI31 CL4:CL31 CO4:IC31">
    <cfRule type="containsText" dxfId="0" priority="1" operator="containsText" text="WB">
      <formula>NOT(ISERROR(SEARCH(("WB"),(C4))))</formula>
    </cfRule>
  </conditionalFormatting>
  <conditionalFormatting sqref="C4:C31 F4:F31 I4:I31 L4:L31 O4:O31 R4:R31 AA4:AA31 AC4:AD31 AG4:AG31 AJ4:AJ31 AM4:AM31 AP4:AP31 AS4:AS31 AY4:AY31 BA4:BC31 BE4:BE31 BH4:BI31 BK4:BK31 BN4:BN31 BQ4:BT31 BW4:BW31 BY4:CA31 CC4:CC31 CF4:CG31 CI4:CI31 CL4:CL31 CO4:IC31">
    <cfRule type="containsText" dxfId="1" priority="2" operator="containsText" text="WT">
      <formula>NOT(ISERROR(SEARCH(("WT"),(C4))))</formula>
    </cfRule>
  </conditionalFormatting>
  <conditionalFormatting sqref="C4:C31 F4:F31 I4:I31 L4:L31 O4:O31 R4:R31 AA4:AA31 AC4:AD31 AG4:AG31 AJ4:AJ31 AM4:AM31 AP4:AP31 AS4:AS31 AY4:AY31 BA4:BC31 BE4:BE31 BH4:BI31 BK4:BK31 BN4:BN31 BQ4:BT31 BW4:BW31 BY4:CA31 CC4:CC31 CF4:CG31 CI4:CI31 CL4:CL31 CO4:IC31">
    <cfRule type="containsText" dxfId="2" priority="3" operator="containsText" text="WA">
      <formula>NOT(ISERROR(SEARCH(("WA"),(C4))))</formula>
    </cfRule>
  </conditionalFormatting>
  <conditionalFormatting sqref="C4:C31 F4:F31 I4:I31 L4:L31 O4:O31 R4:R31 AA4:AA31 AC4:AD31 AG4:AG31 AJ4:AJ31 AM4:AM31 AP4:AP31 AS4:AS31 AY4:AY31 BA4:BC31 BE4:BE31 BH4:BI31 BK4:BK31 BN4:BN31 BQ4:BT31 BW4:BW31 BY4:CA31 CC4:CC31 CF4:CG31 CI4:CI31 CL4:CL31 CO4:IC31">
    <cfRule type="containsText" dxfId="3" priority="4" operator="containsText" text="Exc">
      <formula>NOT(ISERROR(SEARCH(("Exc"),(C4))))</formula>
    </cfRule>
  </conditionalFormatting>
  <dataValidations>
    <dataValidation type="list" allowBlank="1" sqref="C4:C31 F4:F31 I4:I31 L4:L31 O4:O31 R4:R31 AA4:AA31 AD4:AD31 AG4:AG31 AJ4:AJ31 AM4:AM31 AP4:AP31 AY4:AY31 BB4:BB31 BE4:BE31 BH4:BH31 BK4:BK31 BN4:BN31 BW4:BW31 BZ4:BZ31 CC4:CC31 CF4:CF31 CI4:CI31 CL4:CL31 CU4:CU31 CX4:CX31 DA4:DA31 DD4:DD31 DG4:DG31 DJ4:DJ31 DS4:DS31 DV4:DV31 DY4:DY31 EB4:EB31 EE4:EE31 EH4:EH31 EQ4:EQ31 ET4:ET31 EW4:EW31 EZ4:EZ31 FC4:FC31 FF4:FF31 FO4:FO31 FR4:FR31 FU4:FU31 FX4:FX31 GA4:GA31 GD4:GD31 GM4:GM31 GP4:GP31 GS4:GS31 HB4:HB31 HE4:HE31 HH4:HH31">
      <formula1>"WB,WT,WA,Exc"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30.0"/>
    <col customWidth="1" min="2" max="2" width="16.63"/>
    <col customWidth="1" min="3" max="3" width="12.38"/>
    <col customWidth="1" min="4" max="4" width="10.88"/>
    <col customWidth="1" min="5" max="7" width="15.75"/>
    <col customWidth="1" min="9" max="9" width="13.25"/>
    <col customWidth="1" min="10" max="10" width="4.75"/>
  </cols>
  <sheetData>
    <row r="1" ht="50.25" customHeight="1">
      <c r="A1" s="113" t="s">
        <v>91</v>
      </c>
      <c r="B1" s="114" t="s">
        <v>92</v>
      </c>
      <c r="C1" s="114" t="s">
        <v>13</v>
      </c>
      <c r="D1" s="115" t="s">
        <v>93</v>
      </c>
      <c r="E1" s="116" t="s">
        <v>94</v>
      </c>
      <c r="F1" s="116" t="s">
        <v>95</v>
      </c>
      <c r="G1" s="117" t="s">
        <v>96</v>
      </c>
      <c r="H1" s="118" t="s">
        <v>97</v>
      </c>
      <c r="I1" s="118" t="s">
        <v>98</v>
      </c>
      <c r="J1" s="119"/>
    </row>
    <row r="2">
      <c r="A2" s="120" t="s">
        <v>99</v>
      </c>
      <c r="B2" s="121" t="s">
        <v>100</v>
      </c>
      <c r="C2" s="122" t="s">
        <v>85</v>
      </c>
      <c r="D2" s="123" t="s">
        <v>101</v>
      </c>
      <c r="E2" s="124" t="s">
        <v>102</v>
      </c>
      <c r="F2" s="124" t="s">
        <v>102</v>
      </c>
      <c r="G2" s="124" t="s">
        <v>102</v>
      </c>
      <c r="H2" s="125" t="s">
        <v>103</v>
      </c>
      <c r="I2" s="126" t="s">
        <v>103</v>
      </c>
      <c r="J2" s="119"/>
    </row>
    <row r="3">
      <c r="A3" s="120" t="s">
        <v>104</v>
      </c>
      <c r="B3" s="121" t="s">
        <v>100</v>
      </c>
      <c r="C3" s="122" t="s">
        <v>88</v>
      </c>
      <c r="D3" s="123" t="s">
        <v>101</v>
      </c>
      <c r="E3" s="124" t="s">
        <v>102</v>
      </c>
      <c r="F3" s="124" t="s">
        <v>102</v>
      </c>
      <c r="G3" s="124" t="s">
        <v>102</v>
      </c>
      <c r="H3" s="125" t="s">
        <v>103</v>
      </c>
      <c r="I3" s="126" t="s">
        <v>103</v>
      </c>
      <c r="J3" s="119"/>
    </row>
    <row r="4">
      <c r="A4" s="120" t="s">
        <v>105</v>
      </c>
      <c r="B4" s="121" t="s">
        <v>100</v>
      </c>
      <c r="C4" s="122" t="s">
        <v>88</v>
      </c>
      <c r="D4" s="123" t="s">
        <v>101</v>
      </c>
      <c r="E4" s="124" t="s">
        <v>102</v>
      </c>
      <c r="F4" s="124" t="s">
        <v>102</v>
      </c>
      <c r="G4" s="124" t="s">
        <v>102</v>
      </c>
      <c r="H4" s="125" t="s">
        <v>103</v>
      </c>
      <c r="I4" s="126" t="s">
        <v>103</v>
      </c>
      <c r="J4" s="119"/>
    </row>
    <row r="5">
      <c r="A5" s="120" t="s">
        <v>106</v>
      </c>
      <c r="B5" s="121" t="s">
        <v>100</v>
      </c>
      <c r="C5" s="122" t="s">
        <v>88</v>
      </c>
      <c r="D5" s="123" t="s">
        <v>101</v>
      </c>
      <c r="E5" s="124" t="s">
        <v>102</v>
      </c>
      <c r="F5" s="124" t="s">
        <v>102</v>
      </c>
      <c r="G5" s="124" t="s">
        <v>102</v>
      </c>
      <c r="H5" s="125" t="s">
        <v>103</v>
      </c>
      <c r="I5" s="126" t="s">
        <v>103</v>
      </c>
      <c r="J5" s="119"/>
    </row>
    <row r="6">
      <c r="A6" s="120" t="s">
        <v>107</v>
      </c>
      <c r="B6" s="121" t="s">
        <v>100</v>
      </c>
      <c r="C6" s="122" t="s">
        <v>88</v>
      </c>
      <c r="D6" s="123" t="s">
        <v>101</v>
      </c>
      <c r="E6" s="124" t="s">
        <v>102</v>
      </c>
      <c r="F6" s="124" t="s">
        <v>102</v>
      </c>
      <c r="G6" s="124" t="s">
        <v>102</v>
      </c>
      <c r="H6" s="125" t="s">
        <v>103</v>
      </c>
      <c r="I6" s="126" t="s">
        <v>103</v>
      </c>
      <c r="J6" s="119"/>
    </row>
    <row r="7">
      <c r="A7" s="120" t="s">
        <v>108</v>
      </c>
      <c r="B7" s="121" t="s">
        <v>100</v>
      </c>
      <c r="C7" s="122" t="s">
        <v>85</v>
      </c>
      <c r="D7" s="123" t="s">
        <v>101</v>
      </c>
      <c r="E7" s="124" t="s">
        <v>102</v>
      </c>
      <c r="F7" s="124" t="s">
        <v>102</v>
      </c>
      <c r="G7" s="124" t="s">
        <v>102</v>
      </c>
      <c r="H7" s="125" t="s">
        <v>109</v>
      </c>
      <c r="I7" s="126" t="s">
        <v>103</v>
      </c>
      <c r="J7" s="119"/>
    </row>
    <row r="8">
      <c r="A8" s="120" t="s">
        <v>110</v>
      </c>
      <c r="B8" s="121" t="s">
        <v>100</v>
      </c>
      <c r="C8" s="122" t="s">
        <v>85</v>
      </c>
      <c r="D8" s="123" t="s">
        <v>101</v>
      </c>
      <c r="E8" s="124" t="s">
        <v>102</v>
      </c>
      <c r="F8" s="124" t="s">
        <v>102</v>
      </c>
      <c r="G8" s="124" t="s">
        <v>102</v>
      </c>
      <c r="H8" s="125" t="s">
        <v>103</v>
      </c>
      <c r="I8" s="126" t="s">
        <v>103</v>
      </c>
      <c r="J8" s="119"/>
    </row>
    <row r="9">
      <c r="A9" s="120" t="s">
        <v>111</v>
      </c>
      <c r="B9" s="121" t="s">
        <v>100</v>
      </c>
      <c r="C9" s="122" t="s">
        <v>88</v>
      </c>
      <c r="D9" s="123" t="s">
        <v>101</v>
      </c>
      <c r="E9" s="124" t="s">
        <v>102</v>
      </c>
      <c r="F9" s="124" t="s">
        <v>102</v>
      </c>
      <c r="G9" s="124" t="s">
        <v>102</v>
      </c>
      <c r="H9" s="125" t="s">
        <v>103</v>
      </c>
      <c r="I9" s="126" t="s">
        <v>103</v>
      </c>
      <c r="J9" s="119"/>
    </row>
    <row r="10">
      <c r="A10" s="120" t="s">
        <v>112</v>
      </c>
      <c r="B10" s="121" t="s">
        <v>100</v>
      </c>
      <c r="C10" s="122" t="s">
        <v>85</v>
      </c>
      <c r="D10" s="123" t="s">
        <v>101</v>
      </c>
      <c r="E10" s="124" t="s">
        <v>102</v>
      </c>
      <c r="F10" s="124" t="s">
        <v>102</v>
      </c>
      <c r="G10" s="124" t="s">
        <v>102</v>
      </c>
      <c r="H10" s="125" t="s">
        <v>103</v>
      </c>
      <c r="I10" s="126" t="s">
        <v>103</v>
      </c>
      <c r="J10" s="119"/>
    </row>
    <row r="11">
      <c r="A11" s="120" t="s">
        <v>113</v>
      </c>
      <c r="B11" s="121" t="s">
        <v>100</v>
      </c>
      <c r="C11" s="122" t="s">
        <v>88</v>
      </c>
      <c r="D11" s="123" t="s">
        <v>101</v>
      </c>
      <c r="E11" s="124" t="s">
        <v>102</v>
      </c>
      <c r="F11" s="124" t="s">
        <v>102</v>
      </c>
      <c r="G11" s="124" t="s">
        <v>102</v>
      </c>
      <c r="H11" s="125" t="s">
        <v>109</v>
      </c>
      <c r="I11" s="126" t="s">
        <v>109</v>
      </c>
      <c r="J11" s="119"/>
    </row>
    <row r="12">
      <c r="A12" s="120" t="s">
        <v>114</v>
      </c>
      <c r="B12" s="121" t="s">
        <v>100</v>
      </c>
      <c r="C12" s="122" t="s">
        <v>85</v>
      </c>
      <c r="D12" s="123" t="s">
        <v>101</v>
      </c>
      <c r="E12" s="124" t="s">
        <v>102</v>
      </c>
      <c r="F12" s="124" t="s">
        <v>102</v>
      </c>
      <c r="G12" s="124" t="s">
        <v>102</v>
      </c>
      <c r="H12" s="125" t="s">
        <v>109</v>
      </c>
      <c r="I12" s="126" t="s">
        <v>103</v>
      </c>
      <c r="J12" s="119"/>
    </row>
    <row r="13">
      <c r="A13" s="120" t="s">
        <v>115</v>
      </c>
      <c r="B13" s="121" t="s">
        <v>100</v>
      </c>
      <c r="C13" s="122" t="s">
        <v>85</v>
      </c>
      <c r="D13" s="123" t="s">
        <v>101</v>
      </c>
      <c r="E13" s="124" t="s">
        <v>102</v>
      </c>
      <c r="F13" s="124" t="s">
        <v>102</v>
      </c>
      <c r="G13" s="124" t="s">
        <v>102</v>
      </c>
      <c r="H13" s="125" t="s">
        <v>109</v>
      </c>
      <c r="I13" s="126" t="s">
        <v>103</v>
      </c>
      <c r="J13" s="119"/>
    </row>
    <row r="14">
      <c r="A14" s="120" t="s">
        <v>116</v>
      </c>
      <c r="B14" s="121" t="s">
        <v>100</v>
      </c>
      <c r="C14" s="122" t="s">
        <v>88</v>
      </c>
      <c r="D14" s="123" t="s">
        <v>101</v>
      </c>
      <c r="E14" s="124" t="s">
        <v>102</v>
      </c>
      <c r="F14" s="124" t="s">
        <v>102</v>
      </c>
      <c r="G14" s="124" t="s">
        <v>102</v>
      </c>
      <c r="H14" s="125" t="s">
        <v>103</v>
      </c>
      <c r="I14" s="126" t="s">
        <v>103</v>
      </c>
      <c r="J14" s="119"/>
    </row>
    <row r="15">
      <c r="A15" s="120" t="s">
        <v>117</v>
      </c>
      <c r="B15" s="121" t="s">
        <v>100</v>
      </c>
      <c r="C15" s="122" t="s">
        <v>88</v>
      </c>
      <c r="D15" s="123" t="s">
        <v>101</v>
      </c>
      <c r="E15" s="124" t="s">
        <v>102</v>
      </c>
      <c r="F15" s="124" t="s">
        <v>102</v>
      </c>
      <c r="G15" s="124" t="s">
        <v>102</v>
      </c>
      <c r="H15" s="125" t="s">
        <v>109</v>
      </c>
      <c r="I15" s="126" t="s">
        <v>109</v>
      </c>
      <c r="J15" s="119"/>
    </row>
    <row r="16">
      <c r="A16" s="120" t="s">
        <v>118</v>
      </c>
      <c r="B16" s="121" t="s">
        <v>100</v>
      </c>
      <c r="C16" s="122" t="s">
        <v>88</v>
      </c>
      <c r="D16" s="123" t="s">
        <v>101</v>
      </c>
      <c r="E16" s="124" t="s">
        <v>102</v>
      </c>
      <c r="F16" s="124" t="s">
        <v>102</v>
      </c>
      <c r="G16" s="124" t="s">
        <v>102</v>
      </c>
      <c r="H16" s="125" t="s">
        <v>109</v>
      </c>
      <c r="I16" s="126" t="s">
        <v>109</v>
      </c>
      <c r="J16" s="119"/>
    </row>
    <row r="17">
      <c r="A17" s="120" t="s">
        <v>119</v>
      </c>
      <c r="B17" s="121" t="s">
        <v>120</v>
      </c>
      <c r="C17" s="122" t="s">
        <v>88</v>
      </c>
      <c r="D17" s="123" t="s">
        <v>101</v>
      </c>
      <c r="E17" s="124" t="s">
        <v>102</v>
      </c>
      <c r="F17" s="124" t="s">
        <v>121</v>
      </c>
      <c r="G17" s="124" t="s">
        <v>121</v>
      </c>
      <c r="H17" s="125" t="s">
        <v>103</v>
      </c>
      <c r="I17" s="126" t="s">
        <v>103</v>
      </c>
      <c r="J17" s="119"/>
    </row>
    <row r="18">
      <c r="A18" s="120" t="s">
        <v>122</v>
      </c>
      <c r="B18" s="121" t="s">
        <v>120</v>
      </c>
      <c r="C18" s="122" t="s">
        <v>88</v>
      </c>
      <c r="D18" s="123" t="s">
        <v>101</v>
      </c>
      <c r="E18" s="124" t="s">
        <v>102</v>
      </c>
      <c r="F18" s="124" t="s">
        <v>102</v>
      </c>
      <c r="G18" s="124" t="s">
        <v>102</v>
      </c>
      <c r="H18" s="125" t="s">
        <v>103</v>
      </c>
      <c r="I18" s="126" t="s">
        <v>103</v>
      </c>
      <c r="J18" s="119"/>
    </row>
    <row r="19">
      <c r="A19" s="120" t="s">
        <v>123</v>
      </c>
      <c r="B19" s="121" t="s">
        <v>120</v>
      </c>
      <c r="C19" s="122" t="s">
        <v>85</v>
      </c>
      <c r="D19" s="123" t="s">
        <v>101</v>
      </c>
      <c r="E19" s="124" t="s">
        <v>102</v>
      </c>
      <c r="F19" s="124" t="s">
        <v>102</v>
      </c>
      <c r="G19" s="124" t="s">
        <v>102</v>
      </c>
      <c r="H19" s="125" t="s">
        <v>103</v>
      </c>
      <c r="I19" s="126" t="s">
        <v>103</v>
      </c>
      <c r="J19" s="119"/>
    </row>
    <row r="20">
      <c r="A20" s="120" t="s">
        <v>124</v>
      </c>
      <c r="B20" s="121" t="s">
        <v>120</v>
      </c>
      <c r="C20" s="122" t="s">
        <v>85</v>
      </c>
      <c r="D20" s="123" t="s">
        <v>101</v>
      </c>
      <c r="E20" s="124" t="s">
        <v>102</v>
      </c>
      <c r="F20" s="124" t="s">
        <v>102</v>
      </c>
      <c r="G20" s="124" t="s">
        <v>102</v>
      </c>
      <c r="H20" s="125" t="s">
        <v>109</v>
      </c>
      <c r="I20" s="126" t="s">
        <v>109</v>
      </c>
      <c r="J20" s="119"/>
    </row>
    <row r="21">
      <c r="A21" s="120" t="s">
        <v>125</v>
      </c>
      <c r="B21" s="121" t="s">
        <v>120</v>
      </c>
      <c r="C21" s="122" t="s">
        <v>85</v>
      </c>
      <c r="D21" s="123" t="s">
        <v>101</v>
      </c>
      <c r="E21" s="124" t="s">
        <v>102</v>
      </c>
      <c r="F21" s="124" t="s">
        <v>102</v>
      </c>
      <c r="G21" s="124" t="s">
        <v>102</v>
      </c>
      <c r="H21" s="125" t="s">
        <v>103</v>
      </c>
      <c r="I21" s="126" t="s">
        <v>103</v>
      </c>
      <c r="J21" s="119"/>
    </row>
    <row r="22">
      <c r="A22" s="120" t="s">
        <v>126</v>
      </c>
      <c r="B22" s="121" t="s">
        <v>120</v>
      </c>
      <c r="C22" s="122" t="s">
        <v>88</v>
      </c>
      <c r="D22" s="123" t="s">
        <v>101</v>
      </c>
      <c r="E22" s="124" t="s">
        <v>102</v>
      </c>
      <c r="F22" s="124" t="s">
        <v>102</v>
      </c>
      <c r="G22" s="124" t="s">
        <v>102</v>
      </c>
      <c r="H22" s="125" t="s">
        <v>103</v>
      </c>
      <c r="I22" s="126" t="s">
        <v>103</v>
      </c>
      <c r="J22" s="119"/>
    </row>
    <row r="23">
      <c r="A23" s="120" t="s">
        <v>127</v>
      </c>
      <c r="B23" s="121" t="s">
        <v>120</v>
      </c>
      <c r="C23" s="122" t="s">
        <v>88</v>
      </c>
      <c r="D23" s="123" t="s">
        <v>101</v>
      </c>
      <c r="E23" s="124" t="s">
        <v>102</v>
      </c>
      <c r="F23" s="124" t="s">
        <v>102</v>
      </c>
      <c r="G23" s="124" t="s">
        <v>102</v>
      </c>
      <c r="H23" s="125" t="s">
        <v>103</v>
      </c>
      <c r="I23" s="126" t="s">
        <v>103</v>
      </c>
      <c r="J23" s="119"/>
    </row>
    <row r="24">
      <c r="A24" s="120" t="s">
        <v>128</v>
      </c>
      <c r="B24" s="121" t="s">
        <v>120</v>
      </c>
      <c r="C24" s="122" t="s">
        <v>88</v>
      </c>
      <c r="D24" s="123" t="s">
        <v>101</v>
      </c>
      <c r="E24" s="124" t="s">
        <v>102</v>
      </c>
      <c r="F24" s="124" t="s">
        <v>102</v>
      </c>
      <c r="G24" s="124" t="s">
        <v>102</v>
      </c>
      <c r="H24" s="125" t="s">
        <v>103</v>
      </c>
      <c r="I24" s="126" t="s">
        <v>103</v>
      </c>
      <c r="J24" s="119"/>
    </row>
    <row r="25">
      <c r="A25" s="120" t="s">
        <v>129</v>
      </c>
      <c r="B25" s="121" t="s">
        <v>120</v>
      </c>
      <c r="C25" s="122" t="s">
        <v>85</v>
      </c>
      <c r="D25" s="123" t="s">
        <v>101</v>
      </c>
      <c r="E25" s="124" t="s">
        <v>102</v>
      </c>
      <c r="F25" s="124" t="s">
        <v>102</v>
      </c>
      <c r="G25" s="124" t="s">
        <v>102</v>
      </c>
      <c r="H25" s="125" t="s">
        <v>103</v>
      </c>
      <c r="I25" s="126" t="s">
        <v>103</v>
      </c>
      <c r="J25" s="119"/>
    </row>
    <row r="26">
      <c r="A26" s="120" t="s">
        <v>130</v>
      </c>
      <c r="B26" s="121" t="s">
        <v>120</v>
      </c>
      <c r="C26" s="122" t="s">
        <v>88</v>
      </c>
      <c r="D26" s="123" t="s">
        <v>101</v>
      </c>
      <c r="E26" s="124" t="s">
        <v>102</v>
      </c>
      <c r="F26" s="124" t="s">
        <v>102</v>
      </c>
      <c r="G26" s="124" t="s">
        <v>102</v>
      </c>
      <c r="H26" s="125" t="s">
        <v>109</v>
      </c>
      <c r="I26" s="126" t="s">
        <v>103</v>
      </c>
      <c r="J26" s="119"/>
    </row>
    <row r="27">
      <c r="A27" s="120" t="s">
        <v>131</v>
      </c>
      <c r="B27" s="121" t="s">
        <v>120</v>
      </c>
      <c r="C27" s="122" t="s">
        <v>88</v>
      </c>
      <c r="D27" s="123" t="s">
        <v>101</v>
      </c>
      <c r="E27" s="124" t="s">
        <v>102</v>
      </c>
      <c r="F27" s="124" t="s">
        <v>102</v>
      </c>
      <c r="G27" s="124" t="s">
        <v>102</v>
      </c>
      <c r="H27" s="125" t="s">
        <v>109</v>
      </c>
      <c r="I27" s="126" t="s">
        <v>103</v>
      </c>
      <c r="J27" s="119"/>
    </row>
    <row r="28">
      <c r="A28" s="120" t="s">
        <v>132</v>
      </c>
      <c r="B28" s="121" t="s">
        <v>120</v>
      </c>
      <c r="C28" s="122" t="s">
        <v>88</v>
      </c>
      <c r="D28" s="123" t="s">
        <v>101</v>
      </c>
      <c r="E28" s="124" t="s">
        <v>102</v>
      </c>
      <c r="F28" s="124" t="s">
        <v>102</v>
      </c>
      <c r="G28" s="124" t="s">
        <v>102</v>
      </c>
      <c r="H28" s="125" t="s">
        <v>103</v>
      </c>
      <c r="I28" s="126" t="s">
        <v>103</v>
      </c>
      <c r="J28" s="119"/>
    </row>
    <row r="29">
      <c r="A29" s="120" t="s">
        <v>133</v>
      </c>
      <c r="B29" s="121" t="s">
        <v>120</v>
      </c>
      <c r="C29" s="122" t="s">
        <v>85</v>
      </c>
      <c r="D29" s="123" t="s">
        <v>101</v>
      </c>
      <c r="E29" s="124" t="s">
        <v>102</v>
      </c>
      <c r="F29" s="124" t="s">
        <v>102</v>
      </c>
      <c r="G29" s="124" t="s">
        <v>102</v>
      </c>
      <c r="H29" s="125" t="s">
        <v>109</v>
      </c>
      <c r="I29" s="126" t="s">
        <v>109</v>
      </c>
      <c r="J29" s="119"/>
    </row>
    <row r="30">
      <c r="A30" s="120" t="s">
        <v>134</v>
      </c>
      <c r="B30" s="121" t="s">
        <v>120</v>
      </c>
      <c r="C30" s="122" t="s">
        <v>88</v>
      </c>
      <c r="D30" s="123" t="s">
        <v>101</v>
      </c>
      <c r="E30" s="124" t="s">
        <v>102</v>
      </c>
      <c r="F30" s="124" t="s">
        <v>102</v>
      </c>
      <c r="G30" s="124" t="s">
        <v>102</v>
      </c>
      <c r="H30" s="125" t="s">
        <v>103</v>
      </c>
      <c r="I30" s="126" t="s">
        <v>103</v>
      </c>
      <c r="J30" s="119"/>
    </row>
    <row r="31">
      <c r="A31" s="120" t="s">
        <v>135</v>
      </c>
      <c r="B31" s="121" t="s">
        <v>120</v>
      </c>
      <c r="C31" s="122" t="s">
        <v>85</v>
      </c>
      <c r="D31" s="123" t="s">
        <v>101</v>
      </c>
      <c r="E31" s="124" t="s">
        <v>102</v>
      </c>
      <c r="F31" s="124" t="s">
        <v>102</v>
      </c>
      <c r="G31" s="124" t="s">
        <v>102</v>
      </c>
      <c r="H31" s="125" t="s">
        <v>109</v>
      </c>
      <c r="I31" s="126" t="s">
        <v>109</v>
      </c>
      <c r="J31" s="119"/>
    </row>
    <row r="32">
      <c r="A32" s="120" t="s">
        <v>136</v>
      </c>
      <c r="B32" s="121" t="s">
        <v>120</v>
      </c>
      <c r="C32" s="122" t="s">
        <v>88</v>
      </c>
      <c r="D32" s="123" t="s">
        <v>101</v>
      </c>
      <c r="E32" s="124" t="s">
        <v>102</v>
      </c>
      <c r="F32" s="124" t="s">
        <v>102</v>
      </c>
      <c r="G32" s="124" t="s">
        <v>102</v>
      </c>
      <c r="H32" s="125" t="s">
        <v>103</v>
      </c>
      <c r="I32" s="126" t="s">
        <v>103</v>
      </c>
      <c r="J32" s="119"/>
    </row>
    <row r="33">
      <c r="A33" s="120" t="s">
        <v>137</v>
      </c>
      <c r="B33" s="121" t="s">
        <v>138</v>
      </c>
      <c r="C33" s="122" t="s">
        <v>88</v>
      </c>
      <c r="D33" s="123" t="s">
        <v>101</v>
      </c>
      <c r="E33" s="124" t="s">
        <v>102</v>
      </c>
      <c r="F33" s="124" t="s">
        <v>102</v>
      </c>
      <c r="G33" s="124" t="s">
        <v>102</v>
      </c>
      <c r="H33" s="125" t="s">
        <v>103</v>
      </c>
      <c r="I33" s="125" t="s">
        <v>103</v>
      </c>
      <c r="J33" s="119"/>
    </row>
    <row r="34">
      <c r="A34" s="120" t="s">
        <v>139</v>
      </c>
      <c r="B34" s="121" t="s">
        <v>138</v>
      </c>
      <c r="C34" s="122" t="s">
        <v>88</v>
      </c>
      <c r="D34" s="123" t="s">
        <v>101</v>
      </c>
      <c r="E34" s="124" t="s">
        <v>102</v>
      </c>
      <c r="F34" s="124" t="s">
        <v>102</v>
      </c>
      <c r="G34" s="124" t="s">
        <v>102</v>
      </c>
      <c r="H34" s="125" t="s">
        <v>103</v>
      </c>
      <c r="I34" s="125" t="s">
        <v>103</v>
      </c>
      <c r="J34" s="119"/>
    </row>
    <row r="35">
      <c r="A35" s="120" t="s">
        <v>140</v>
      </c>
      <c r="B35" s="121" t="s">
        <v>138</v>
      </c>
      <c r="C35" s="122" t="s">
        <v>85</v>
      </c>
      <c r="D35" s="123" t="s">
        <v>101</v>
      </c>
      <c r="E35" s="124" t="s">
        <v>102</v>
      </c>
      <c r="F35" s="124" t="s">
        <v>102</v>
      </c>
      <c r="G35" s="124" t="s">
        <v>102</v>
      </c>
      <c r="H35" s="125" t="s">
        <v>103</v>
      </c>
      <c r="I35" s="125" t="s">
        <v>103</v>
      </c>
      <c r="J35" s="119"/>
    </row>
    <row r="36">
      <c r="A36" s="120" t="s">
        <v>141</v>
      </c>
      <c r="B36" s="121" t="s">
        <v>138</v>
      </c>
      <c r="C36" s="122" t="s">
        <v>88</v>
      </c>
      <c r="D36" s="123" t="s">
        <v>101</v>
      </c>
      <c r="E36" s="124" t="s">
        <v>102</v>
      </c>
      <c r="F36" s="124" t="s">
        <v>102</v>
      </c>
      <c r="G36" s="124" t="s">
        <v>102</v>
      </c>
      <c r="H36" s="125" t="s">
        <v>103</v>
      </c>
      <c r="I36" s="125" t="s">
        <v>103</v>
      </c>
      <c r="J36" s="119"/>
    </row>
    <row r="37">
      <c r="A37" s="120" t="s">
        <v>142</v>
      </c>
      <c r="B37" s="121" t="s">
        <v>138</v>
      </c>
      <c r="C37" s="122" t="s">
        <v>88</v>
      </c>
      <c r="D37" s="123" t="s">
        <v>101</v>
      </c>
      <c r="E37" s="124" t="s">
        <v>102</v>
      </c>
      <c r="F37" s="124" t="s">
        <v>102</v>
      </c>
      <c r="G37" s="124" t="s">
        <v>102</v>
      </c>
      <c r="H37" s="125" t="s">
        <v>103</v>
      </c>
      <c r="I37" s="125" t="s">
        <v>109</v>
      </c>
      <c r="J37" s="119"/>
    </row>
    <row r="38">
      <c r="A38" s="120" t="s">
        <v>143</v>
      </c>
      <c r="B38" s="121" t="s">
        <v>138</v>
      </c>
      <c r="C38" s="122" t="s">
        <v>88</v>
      </c>
      <c r="D38" s="123" t="s">
        <v>101</v>
      </c>
      <c r="E38" s="124" t="s">
        <v>102</v>
      </c>
      <c r="F38" s="124" t="s">
        <v>102</v>
      </c>
      <c r="G38" s="124" t="s">
        <v>102</v>
      </c>
      <c r="H38" s="125" t="s">
        <v>103</v>
      </c>
      <c r="I38" s="125" t="s">
        <v>103</v>
      </c>
      <c r="J38" s="119"/>
    </row>
    <row r="39">
      <c r="A39" s="120" t="s">
        <v>144</v>
      </c>
      <c r="B39" s="121" t="s">
        <v>138</v>
      </c>
      <c r="C39" s="122" t="s">
        <v>88</v>
      </c>
      <c r="D39" s="123" t="s">
        <v>101</v>
      </c>
      <c r="E39" s="124" t="s">
        <v>102</v>
      </c>
      <c r="F39" s="124" t="s">
        <v>102</v>
      </c>
      <c r="G39" s="124" t="s">
        <v>102</v>
      </c>
      <c r="H39" s="125" t="s">
        <v>103</v>
      </c>
      <c r="I39" s="125" t="s">
        <v>109</v>
      </c>
      <c r="J39" s="119"/>
    </row>
    <row r="40">
      <c r="A40" s="120" t="s">
        <v>145</v>
      </c>
      <c r="B40" s="121" t="s">
        <v>138</v>
      </c>
      <c r="C40" s="122" t="s">
        <v>88</v>
      </c>
      <c r="D40" s="123" t="s">
        <v>101</v>
      </c>
      <c r="E40" s="124" t="s">
        <v>102</v>
      </c>
      <c r="F40" s="124" t="s">
        <v>102</v>
      </c>
      <c r="G40" s="124" t="s">
        <v>102</v>
      </c>
      <c r="H40" s="125" t="s">
        <v>103</v>
      </c>
      <c r="I40" s="125" t="s">
        <v>103</v>
      </c>
      <c r="J40" s="119"/>
    </row>
    <row r="41">
      <c r="A41" s="120" t="s">
        <v>146</v>
      </c>
      <c r="B41" s="121" t="s">
        <v>138</v>
      </c>
      <c r="C41" s="122" t="s">
        <v>88</v>
      </c>
      <c r="D41" s="123" t="s">
        <v>101</v>
      </c>
      <c r="E41" s="124" t="s">
        <v>102</v>
      </c>
      <c r="F41" s="124" t="s">
        <v>121</v>
      </c>
      <c r="G41" s="124" t="s">
        <v>121</v>
      </c>
      <c r="H41" s="125" t="s">
        <v>109</v>
      </c>
      <c r="I41" s="125" t="s">
        <v>109</v>
      </c>
      <c r="J41" s="119"/>
    </row>
    <row r="42">
      <c r="A42" s="120" t="s">
        <v>147</v>
      </c>
      <c r="B42" s="121" t="s">
        <v>138</v>
      </c>
      <c r="C42" s="122" t="s">
        <v>88</v>
      </c>
      <c r="D42" s="123" t="s">
        <v>101</v>
      </c>
      <c r="E42" s="124" t="s">
        <v>102</v>
      </c>
      <c r="F42" s="124" t="s">
        <v>102</v>
      </c>
      <c r="G42" s="124" t="s">
        <v>102</v>
      </c>
      <c r="H42" s="125" t="s">
        <v>103</v>
      </c>
      <c r="I42" s="125" t="s">
        <v>103</v>
      </c>
      <c r="J42" s="119"/>
    </row>
    <row r="43">
      <c r="A43" s="120" t="s">
        <v>148</v>
      </c>
      <c r="B43" s="121" t="s">
        <v>138</v>
      </c>
      <c r="C43" s="122" t="s">
        <v>85</v>
      </c>
      <c r="D43" s="123" t="s">
        <v>101</v>
      </c>
      <c r="E43" s="124" t="s">
        <v>102</v>
      </c>
      <c r="F43" s="124" t="s">
        <v>102</v>
      </c>
      <c r="G43" s="124" t="s">
        <v>121</v>
      </c>
      <c r="H43" s="125" t="s">
        <v>109</v>
      </c>
      <c r="I43" s="125" t="s">
        <v>109</v>
      </c>
      <c r="J43" s="119"/>
    </row>
    <row r="44">
      <c r="A44" s="120" t="s">
        <v>149</v>
      </c>
      <c r="B44" s="121" t="s">
        <v>138</v>
      </c>
      <c r="C44" s="122" t="s">
        <v>85</v>
      </c>
      <c r="D44" s="123" t="s">
        <v>101</v>
      </c>
      <c r="E44" s="124" t="s">
        <v>102</v>
      </c>
      <c r="F44" s="124" t="s">
        <v>102</v>
      </c>
      <c r="G44" s="124" t="s">
        <v>102</v>
      </c>
      <c r="H44" s="125" t="s">
        <v>103</v>
      </c>
      <c r="I44" s="125" t="s">
        <v>109</v>
      </c>
      <c r="J44" s="119"/>
    </row>
    <row r="45">
      <c r="A45" s="120" t="s">
        <v>150</v>
      </c>
      <c r="B45" s="121" t="s">
        <v>138</v>
      </c>
      <c r="C45" s="122" t="s">
        <v>85</v>
      </c>
      <c r="D45" s="123" t="s">
        <v>101</v>
      </c>
      <c r="E45" s="124" t="s">
        <v>102</v>
      </c>
      <c r="F45" s="124" t="s">
        <v>102</v>
      </c>
      <c r="G45" s="124" t="s">
        <v>102</v>
      </c>
      <c r="H45" s="125" t="s">
        <v>103</v>
      </c>
      <c r="I45" s="125" t="s">
        <v>109</v>
      </c>
      <c r="J45" s="119"/>
    </row>
    <row r="46">
      <c r="A46" s="120" t="s">
        <v>151</v>
      </c>
      <c r="B46" s="121" t="s">
        <v>138</v>
      </c>
      <c r="C46" s="122" t="s">
        <v>85</v>
      </c>
      <c r="D46" s="123" t="s">
        <v>101</v>
      </c>
      <c r="E46" s="124" t="s">
        <v>102</v>
      </c>
      <c r="F46" s="124" t="s">
        <v>102</v>
      </c>
      <c r="G46" s="124" t="s">
        <v>102</v>
      </c>
      <c r="H46" s="125" t="s">
        <v>103</v>
      </c>
      <c r="I46" s="125" t="s">
        <v>103</v>
      </c>
      <c r="J46" s="119"/>
    </row>
    <row r="47">
      <c r="A47" s="127"/>
      <c r="B47" s="127"/>
      <c r="C47" s="127"/>
      <c r="D47" s="127"/>
      <c r="E47" s="127"/>
      <c r="F47" s="127"/>
      <c r="G47" s="127"/>
      <c r="H47" s="119"/>
      <c r="I47" s="119"/>
      <c r="J47" s="119"/>
    </row>
    <row r="48">
      <c r="A48" s="127"/>
      <c r="B48" s="127"/>
      <c r="C48" s="127"/>
      <c r="D48" s="127"/>
      <c r="E48" s="127"/>
      <c r="F48" s="127"/>
      <c r="G48" s="127"/>
      <c r="H48" s="119"/>
      <c r="I48" s="119"/>
      <c r="J48" s="119"/>
    </row>
    <row r="49">
      <c r="A49" s="127"/>
      <c r="B49" s="127"/>
      <c r="C49" s="127"/>
      <c r="D49" s="127"/>
      <c r="E49" s="128" t="s">
        <v>152</v>
      </c>
      <c r="F49" s="128" t="s">
        <v>152</v>
      </c>
      <c r="G49" s="128" t="s">
        <v>152</v>
      </c>
      <c r="H49" s="119"/>
      <c r="I49" s="119"/>
      <c r="J49" s="119"/>
    </row>
    <row r="50">
      <c r="A50" s="127"/>
      <c r="B50" s="127"/>
      <c r="C50" s="127"/>
      <c r="D50" s="127"/>
      <c r="E50" s="129">
        <f t="shared" ref="E50:G50" si="1">COUNTIF(E2:E46, "ELG")</f>
        <v>0</v>
      </c>
      <c r="F50" s="129">
        <f t="shared" si="1"/>
        <v>0</v>
      </c>
      <c r="G50" s="129">
        <f t="shared" si="1"/>
        <v>0</v>
      </c>
      <c r="H50" s="119"/>
      <c r="I50" s="119"/>
      <c r="J50" s="119"/>
    </row>
    <row r="51">
      <c r="A51" s="127"/>
      <c r="B51" s="127"/>
      <c r="C51" s="127"/>
      <c r="D51" s="127"/>
      <c r="E51" s="130">
        <f t="shared" ref="E51:G51" si="2">E50/E67</f>
        <v>0</v>
      </c>
      <c r="F51" s="130">
        <f t="shared" si="2"/>
        <v>0</v>
      </c>
      <c r="G51" s="130">
        <f t="shared" si="2"/>
        <v>0</v>
      </c>
      <c r="H51" s="119"/>
      <c r="I51" s="119"/>
      <c r="J51" s="119"/>
    </row>
    <row r="52">
      <c r="A52" s="127"/>
      <c r="B52" s="127"/>
      <c r="C52" s="127"/>
      <c r="D52" s="127"/>
      <c r="E52" s="131"/>
      <c r="F52" s="131"/>
      <c r="G52" s="131"/>
      <c r="H52" s="119"/>
      <c r="I52" s="119"/>
      <c r="J52" s="119"/>
    </row>
    <row r="53">
      <c r="A53" s="127"/>
      <c r="B53" s="127"/>
      <c r="C53" s="127"/>
      <c r="D53" s="127"/>
      <c r="E53" s="128" t="s">
        <v>153</v>
      </c>
      <c r="F53" s="128" t="s">
        <v>153</v>
      </c>
      <c r="G53" s="128" t="s">
        <v>153</v>
      </c>
      <c r="H53" s="119"/>
      <c r="I53" s="119"/>
      <c r="J53" s="119"/>
    </row>
    <row r="54">
      <c r="A54" s="127"/>
      <c r="B54" s="127"/>
      <c r="C54" s="127"/>
      <c r="D54" s="127"/>
      <c r="E54" s="129">
        <f t="shared" ref="E54:G54" si="3">COUNTIF(E2:E46, "Age 4-5")</f>
        <v>0</v>
      </c>
      <c r="F54" s="129">
        <f t="shared" si="3"/>
        <v>0</v>
      </c>
      <c r="G54" s="129">
        <f t="shared" si="3"/>
        <v>0</v>
      </c>
      <c r="H54" s="119"/>
      <c r="I54" s="119"/>
      <c r="J54" s="119"/>
    </row>
    <row r="55">
      <c r="A55" s="127"/>
      <c r="B55" s="127"/>
      <c r="C55" s="127"/>
      <c r="D55" s="127"/>
      <c r="E55" s="130">
        <f t="shared" ref="E55:G55" si="4">E54/E67</f>
        <v>0</v>
      </c>
      <c r="F55" s="130">
        <f t="shared" si="4"/>
        <v>0</v>
      </c>
      <c r="G55" s="130">
        <f t="shared" si="4"/>
        <v>0</v>
      </c>
      <c r="H55" s="119"/>
      <c r="I55" s="119"/>
      <c r="J55" s="119"/>
    </row>
    <row r="56">
      <c r="A56" s="127"/>
      <c r="B56" s="127"/>
      <c r="C56" s="127"/>
      <c r="D56" s="127"/>
      <c r="E56" s="131"/>
      <c r="F56" s="131"/>
      <c r="G56" s="131"/>
      <c r="H56" s="119"/>
      <c r="I56" s="119"/>
      <c r="J56" s="119"/>
    </row>
    <row r="57">
      <c r="A57" s="127"/>
      <c r="B57" s="127"/>
      <c r="C57" s="127"/>
      <c r="D57" s="127"/>
      <c r="E57" s="128" t="s">
        <v>121</v>
      </c>
      <c r="F57" s="128" t="s">
        <v>121</v>
      </c>
      <c r="G57" s="128" t="s">
        <v>121</v>
      </c>
      <c r="H57" s="119"/>
      <c r="I57" s="119"/>
      <c r="J57" s="119"/>
    </row>
    <row r="58">
      <c r="A58" s="127"/>
      <c r="B58" s="127"/>
      <c r="C58" s="127"/>
      <c r="D58" s="127"/>
      <c r="E58" s="129">
        <f t="shared" ref="E58:G58" si="5">COUNTIF(E2:E46, "Age 3-4")</f>
        <v>0</v>
      </c>
      <c r="F58" s="129">
        <f t="shared" si="5"/>
        <v>2</v>
      </c>
      <c r="G58" s="129">
        <f t="shared" si="5"/>
        <v>3</v>
      </c>
      <c r="H58" s="119"/>
      <c r="I58" s="119"/>
      <c r="J58" s="119"/>
    </row>
    <row r="59">
      <c r="A59" s="127"/>
      <c r="B59" s="127"/>
      <c r="C59" s="127"/>
      <c r="D59" s="127"/>
      <c r="E59" s="130">
        <f t="shared" ref="E59:G59" si="6">E58/E67</f>
        <v>0</v>
      </c>
      <c r="F59" s="130">
        <f t="shared" si="6"/>
        <v>0.04444444444</v>
      </c>
      <c r="G59" s="130">
        <f t="shared" si="6"/>
        <v>0.06666666667</v>
      </c>
      <c r="H59" s="119"/>
      <c r="I59" s="119"/>
      <c r="J59" s="119"/>
    </row>
    <row r="60">
      <c r="A60" s="127"/>
      <c r="B60" s="127"/>
      <c r="C60" s="127"/>
      <c r="D60" s="127"/>
      <c r="E60" s="131"/>
      <c r="F60" s="131"/>
      <c r="G60" s="131"/>
      <c r="H60" s="119"/>
      <c r="I60" s="119"/>
      <c r="J60" s="119"/>
    </row>
    <row r="61">
      <c r="A61" s="127"/>
      <c r="B61" s="127"/>
      <c r="C61" s="127"/>
      <c r="D61" s="127"/>
      <c r="E61" s="128" t="s">
        <v>102</v>
      </c>
      <c r="F61" s="128" t="s">
        <v>102</v>
      </c>
      <c r="G61" s="128" t="s">
        <v>102</v>
      </c>
      <c r="H61" s="119"/>
      <c r="I61" s="119"/>
      <c r="J61" s="119"/>
    </row>
    <row r="62">
      <c r="A62" s="127"/>
      <c r="B62" s="127"/>
      <c r="C62" s="127"/>
      <c r="D62" s="127"/>
      <c r="E62" s="129">
        <f t="shared" ref="E62:G62" si="7">COUNTIF(E2:E46, "Age 0-3")</f>
        <v>45</v>
      </c>
      <c r="F62" s="129">
        <f t="shared" si="7"/>
        <v>43</v>
      </c>
      <c r="G62" s="129">
        <f t="shared" si="7"/>
        <v>42</v>
      </c>
      <c r="H62" s="119"/>
      <c r="I62" s="119"/>
      <c r="J62" s="119"/>
    </row>
    <row r="63">
      <c r="A63" s="127"/>
      <c r="B63" s="127"/>
      <c r="C63" s="127"/>
      <c r="D63" s="127"/>
      <c r="E63" s="130">
        <f t="shared" ref="E63:G63" si="8">E62/E67</f>
        <v>1</v>
      </c>
      <c r="F63" s="130">
        <f t="shared" si="8"/>
        <v>0.9555555556</v>
      </c>
      <c r="G63" s="130">
        <f t="shared" si="8"/>
        <v>0.9333333333</v>
      </c>
      <c r="H63" s="119"/>
      <c r="I63" s="119"/>
      <c r="J63" s="119"/>
    </row>
    <row r="64">
      <c r="A64" s="127"/>
      <c r="B64" s="127"/>
      <c r="C64" s="127"/>
      <c r="D64" s="127"/>
      <c r="E64" s="131"/>
      <c r="F64" s="131"/>
      <c r="G64" s="131"/>
      <c r="H64" s="119"/>
      <c r="I64" s="119"/>
      <c r="J64" s="119"/>
    </row>
    <row r="65">
      <c r="A65" s="127"/>
      <c r="B65" s="127"/>
      <c r="C65" s="127"/>
      <c r="D65" s="127"/>
      <c r="E65" s="132" t="s">
        <v>154</v>
      </c>
      <c r="F65" s="132" t="s">
        <v>154</v>
      </c>
      <c r="G65" s="132" t="s">
        <v>154</v>
      </c>
      <c r="H65" s="119"/>
      <c r="I65" s="119"/>
      <c r="J65" s="119"/>
    </row>
    <row r="66">
      <c r="A66" s="127"/>
      <c r="B66" s="127"/>
      <c r="C66" s="127"/>
      <c r="D66" s="127"/>
      <c r="E66" s="129">
        <f t="shared" ref="E66:G66" si="9">COUNTIF(#REF!, "N/A")</f>
        <v>0</v>
      </c>
      <c r="F66" s="129">
        <f t="shared" si="9"/>
        <v>0</v>
      </c>
      <c r="G66" s="129">
        <f t="shared" si="9"/>
        <v>0</v>
      </c>
      <c r="H66" s="119"/>
      <c r="I66" s="119"/>
      <c r="J66" s="119"/>
    </row>
    <row r="67">
      <c r="A67" s="127"/>
      <c r="B67" s="127"/>
      <c r="C67" s="127"/>
      <c r="D67" s="127"/>
      <c r="E67" s="133">
        <f t="shared" ref="E67:G67" si="10">SUM(E50,E54,E58,E62)</f>
        <v>45</v>
      </c>
      <c r="F67" s="133">
        <f t="shared" si="10"/>
        <v>45</v>
      </c>
      <c r="G67" s="133">
        <f t="shared" si="10"/>
        <v>45</v>
      </c>
      <c r="H67" s="119"/>
      <c r="I67" s="119"/>
      <c r="J67" s="119"/>
    </row>
    <row r="68">
      <c r="A68" s="127"/>
      <c r="B68" s="127"/>
      <c r="C68" s="127"/>
      <c r="D68" s="127"/>
      <c r="E68" s="134">
        <f t="shared" ref="E68:G68" si="11">SUM(E51,E55,E59,E63)</f>
        <v>1</v>
      </c>
      <c r="F68" s="134">
        <f t="shared" si="11"/>
        <v>1</v>
      </c>
      <c r="G68" s="134">
        <f t="shared" si="11"/>
        <v>1</v>
      </c>
      <c r="H68" s="119"/>
      <c r="I68" s="119"/>
      <c r="J68" s="119"/>
    </row>
    <row r="69">
      <c r="A69" s="127"/>
      <c r="B69" s="127"/>
      <c r="C69" s="127"/>
      <c r="D69" s="127"/>
      <c r="E69" s="131"/>
      <c r="F69" s="127"/>
      <c r="G69" s="127"/>
      <c r="H69" s="119"/>
      <c r="I69" s="119"/>
      <c r="J69" s="119"/>
    </row>
    <row r="70">
      <c r="A70" s="127"/>
      <c r="B70" s="127"/>
      <c r="C70" s="127"/>
      <c r="D70" s="127"/>
      <c r="E70" s="131"/>
      <c r="F70" s="127"/>
      <c r="G70" s="127"/>
      <c r="H70" s="119"/>
      <c r="I70" s="119"/>
      <c r="J70" s="119"/>
    </row>
    <row r="71">
      <c r="A71" s="127"/>
      <c r="B71" s="127"/>
      <c r="C71" s="127"/>
      <c r="D71" s="127"/>
      <c r="E71" s="131"/>
      <c r="F71" s="127"/>
      <c r="G71" s="127"/>
      <c r="H71" s="119"/>
      <c r="I71" s="119"/>
      <c r="J71" s="119"/>
    </row>
    <row r="72">
      <c r="A72" s="127"/>
      <c r="B72" s="127"/>
      <c r="C72" s="127"/>
      <c r="D72" s="127"/>
      <c r="E72" s="131"/>
      <c r="F72" s="127"/>
      <c r="G72" s="127"/>
      <c r="H72" s="119"/>
      <c r="I72" s="119"/>
      <c r="J72" s="119"/>
    </row>
    <row r="73">
      <c r="A73" s="127"/>
      <c r="B73" s="127"/>
      <c r="C73" s="127"/>
      <c r="D73" s="127"/>
      <c r="E73" s="131"/>
      <c r="F73" s="127"/>
      <c r="G73" s="127"/>
      <c r="H73" s="119"/>
      <c r="I73" s="119"/>
      <c r="J73" s="119"/>
    </row>
    <row r="74">
      <c r="A74" s="127"/>
      <c r="B74" s="127"/>
      <c r="C74" s="127"/>
      <c r="D74" s="127"/>
      <c r="E74" s="131"/>
      <c r="F74" s="127"/>
      <c r="G74" s="127"/>
      <c r="H74" s="119"/>
      <c r="I74" s="119"/>
      <c r="J74" s="119"/>
    </row>
    <row r="75">
      <c r="A75" s="127"/>
      <c r="B75" s="127"/>
      <c r="C75" s="127"/>
      <c r="D75" s="127"/>
      <c r="E75" s="131"/>
      <c r="F75" s="127"/>
      <c r="G75" s="127"/>
      <c r="H75" s="119"/>
      <c r="I75" s="119"/>
      <c r="J75" s="119"/>
    </row>
    <row r="76">
      <c r="A76" s="127"/>
      <c r="B76" s="127"/>
      <c r="C76" s="127"/>
      <c r="D76" s="127"/>
      <c r="E76" s="131"/>
      <c r="F76" s="127"/>
      <c r="G76" s="127"/>
      <c r="H76" s="119"/>
      <c r="I76" s="119"/>
      <c r="J76" s="119"/>
    </row>
    <row r="77">
      <c r="A77" s="127"/>
      <c r="B77" s="127"/>
      <c r="C77" s="127"/>
      <c r="D77" s="127"/>
      <c r="E77" s="131"/>
      <c r="F77" s="127"/>
      <c r="G77" s="127"/>
      <c r="H77" s="119"/>
      <c r="I77" s="119"/>
      <c r="J77" s="119"/>
    </row>
    <row r="78">
      <c r="A78" s="127"/>
      <c r="B78" s="127"/>
      <c r="C78" s="127"/>
      <c r="D78" s="127"/>
      <c r="E78" s="131"/>
      <c r="F78" s="127"/>
      <c r="G78" s="127"/>
      <c r="H78" s="119"/>
      <c r="I78" s="119"/>
      <c r="J78" s="119"/>
    </row>
    <row r="79">
      <c r="A79" s="127"/>
      <c r="B79" s="127"/>
      <c r="C79" s="127"/>
      <c r="D79" s="127"/>
      <c r="E79" s="131"/>
      <c r="F79" s="127"/>
      <c r="G79" s="127"/>
      <c r="H79" s="119"/>
      <c r="I79" s="119"/>
      <c r="J79" s="119"/>
    </row>
    <row r="80">
      <c r="A80" s="127"/>
      <c r="B80" s="127"/>
      <c r="C80" s="127"/>
      <c r="D80" s="127"/>
      <c r="E80" s="131"/>
      <c r="F80" s="127"/>
      <c r="G80" s="127"/>
      <c r="H80" s="119"/>
      <c r="I80" s="119"/>
      <c r="J80" s="119"/>
    </row>
    <row r="81">
      <c r="A81" s="127"/>
      <c r="B81" s="127"/>
      <c r="C81" s="127"/>
      <c r="D81" s="127"/>
      <c r="E81" s="131"/>
      <c r="F81" s="127"/>
      <c r="G81" s="127"/>
      <c r="H81" s="119"/>
      <c r="I81" s="119"/>
      <c r="J81" s="119"/>
    </row>
    <row r="82">
      <c r="A82" s="127"/>
      <c r="B82" s="127"/>
      <c r="C82" s="127"/>
      <c r="D82" s="127"/>
      <c r="E82" s="131"/>
      <c r="F82" s="127"/>
      <c r="G82" s="127"/>
      <c r="H82" s="119"/>
      <c r="I82" s="119"/>
      <c r="J82" s="119"/>
    </row>
    <row r="83">
      <c r="A83" s="127"/>
      <c r="B83" s="127"/>
      <c r="C83" s="127"/>
      <c r="D83" s="127"/>
      <c r="E83" s="131"/>
      <c r="F83" s="127"/>
      <c r="G83" s="127"/>
      <c r="H83" s="119"/>
      <c r="I83" s="119"/>
      <c r="J83" s="119"/>
    </row>
    <row r="84">
      <c r="A84" s="127"/>
      <c r="B84" s="127"/>
      <c r="C84" s="127"/>
      <c r="D84" s="127"/>
      <c r="E84" s="131"/>
      <c r="F84" s="127"/>
      <c r="G84" s="127"/>
      <c r="H84" s="119"/>
      <c r="I84" s="119"/>
      <c r="J84" s="119"/>
    </row>
    <row r="85">
      <c r="A85" s="127"/>
      <c r="B85" s="127"/>
      <c r="C85" s="127"/>
      <c r="D85" s="127"/>
      <c r="E85" s="131"/>
      <c r="F85" s="127"/>
      <c r="G85" s="127"/>
      <c r="H85" s="119"/>
      <c r="I85" s="119"/>
      <c r="J85" s="119"/>
    </row>
    <row r="86">
      <c r="A86" s="127"/>
      <c r="B86" s="127"/>
      <c r="C86" s="127"/>
      <c r="D86" s="127"/>
      <c r="E86" s="131"/>
      <c r="F86" s="127"/>
      <c r="G86" s="127"/>
      <c r="H86" s="119"/>
      <c r="I86" s="119"/>
      <c r="J86" s="119"/>
    </row>
    <row r="87">
      <c r="A87" s="127"/>
      <c r="B87" s="127"/>
      <c r="C87" s="127"/>
      <c r="D87" s="127"/>
      <c r="E87" s="131"/>
      <c r="F87" s="127"/>
      <c r="G87" s="127"/>
      <c r="H87" s="119"/>
      <c r="I87" s="119"/>
      <c r="J87" s="119"/>
    </row>
    <row r="88">
      <c r="A88" s="127"/>
      <c r="B88" s="127"/>
      <c r="C88" s="127"/>
      <c r="D88" s="127"/>
      <c r="E88" s="131"/>
      <c r="F88" s="127"/>
      <c r="G88" s="127"/>
      <c r="H88" s="119"/>
      <c r="I88" s="119"/>
      <c r="J88" s="119"/>
    </row>
    <row r="89">
      <c r="A89" s="127"/>
      <c r="B89" s="127"/>
      <c r="C89" s="127"/>
      <c r="D89" s="127"/>
      <c r="E89" s="131"/>
      <c r="F89" s="127"/>
      <c r="G89" s="127"/>
      <c r="H89" s="119"/>
      <c r="I89" s="119"/>
      <c r="J89" s="119"/>
    </row>
    <row r="90">
      <c r="A90" s="127"/>
      <c r="B90" s="127"/>
      <c r="C90" s="127"/>
      <c r="D90" s="127"/>
      <c r="E90" s="131"/>
      <c r="F90" s="127"/>
      <c r="G90" s="127"/>
      <c r="H90" s="119"/>
      <c r="I90" s="119"/>
      <c r="J90" s="119"/>
    </row>
    <row r="91">
      <c r="A91" s="127"/>
      <c r="B91" s="127"/>
      <c r="C91" s="127"/>
      <c r="D91" s="127"/>
      <c r="E91" s="131"/>
      <c r="F91" s="127"/>
      <c r="G91" s="127"/>
      <c r="H91" s="119"/>
      <c r="I91" s="119"/>
      <c r="J91" s="119"/>
    </row>
    <row r="92">
      <c r="A92" s="127"/>
      <c r="B92" s="127"/>
      <c r="C92" s="127"/>
      <c r="D92" s="127"/>
      <c r="E92" s="131"/>
      <c r="F92" s="127"/>
      <c r="G92" s="127"/>
      <c r="H92" s="119"/>
      <c r="I92" s="119"/>
      <c r="J92" s="119"/>
    </row>
    <row r="93">
      <c r="A93" s="127"/>
      <c r="B93" s="127"/>
      <c r="C93" s="127"/>
      <c r="D93" s="127"/>
      <c r="E93" s="131"/>
      <c r="F93" s="127"/>
      <c r="G93" s="127"/>
      <c r="H93" s="119"/>
      <c r="I93" s="119"/>
      <c r="J93" s="119"/>
    </row>
    <row r="94">
      <c r="A94" s="127"/>
      <c r="B94" s="127"/>
      <c r="C94" s="127"/>
      <c r="D94" s="127"/>
      <c r="E94" s="131"/>
      <c r="F94" s="127"/>
      <c r="G94" s="127"/>
      <c r="H94" s="119"/>
      <c r="I94" s="119"/>
      <c r="J94" s="119"/>
    </row>
    <row r="95">
      <c r="A95" s="127"/>
      <c r="B95" s="127"/>
      <c r="C95" s="127"/>
      <c r="D95" s="127"/>
      <c r="E95" s="131"/>
      <c r="F95" s="127"/>
      <c r="G95" s="127"/>
      <c r="H95" s="119"/>
      <c r="I95" s="119"/>
      <c r="J95" s="119"/>
    </row>
    <row r="96">
      <c r="A96" s="127"/>
      <c r="B96" s="127"/>
      <c r="C96" s="127"/>
      <c r="D96" s="127"/>
      <c r="E96" s="131"/>
      <c r="F96" s="127"/>
      <c r="G96" s="127"/>
      <c r="H96" s="119"/>
      <c r="I96" s="119"/>
      <c r="J96" s="119"/>
    </row>
    <row r="97">
      <c r="A97" s="127"/>
      <c r="B97" s="127"/>
      <c r="C97" s="127"/>
      <c r="D97" s="127"/>
      <c r="E97" s="131"/>
      <c r="F97" s="127"/>
      <c r="G97" s="127"/>
      <c r="H97" s="119"/>
      <c r="I97" s="119"/>
      <c r="J97" s="119"/>
    </row>
    <row r="98">
      <c r="A98" s="127"/>
      <c r="B98" s="127"/>
      <c r="C98" s="127"/>
      <c r="D98" s="127"/>
      <c r="E98" s="131"/>
      <c r="F98" s="127"/>
      <c r="G98" s="127"/>
      <c r="H98" s="119"/>
      <c r="I98" s="119"/>
      <c r="J98" s="119"/>
    </row>
    <row r="99">
      <c r="A99" s="127"/>
      <c r="B99" s="127"/>
      <c r="C99" s="127"/>
      <c r="D99" s="127"/>
      <c r="E99" s="131"/>
      <c r="F99" s="127"/>
      <c r="G99" s="127"/>
      <c r="H99" s="119"/>
      <c r="I99" s="119"/>
      <c r="J99" s="119"/>
    </row>
    <row r="100">
      <c r="A100" s="127"/>
      <c r="B100" s="127"/>
      <c r="C100" s="127"/>
      <c r="D100" s="127"/>
      <c r="E100" s="131"/>
      <c r="F100" s="127"/>
      <c r="G100" s="127"/>
      <c r="H100" s="119"/>
      <c r="I100" s="119"/>
      <c r="J100" s="119"/>
    </row>
    <row r="101">
      <c r="A101" s="127"/>
      <c r="B101" s="127"/>
      <c r="C101" s="127"/>
      <c r="D101" s="127"/>
      <c r="E101" s="131"/>
      <c r="F101" s="127"/>
      <c r="G101" s="127"/>
      <c r="H101" s="119"/>
      <c r="I101" s="119"/>
      <c r="J101" s="119"/>
    </row>
    <row r="102">
      <c r="A102" s="127"/>
      <c r="B102" s="127"/>
      <c r="C102" s="127"/>
      <c r="D102" s="127"/>
      <c r="E102" s="131"/>
      <c r="F102" s="127"/>
      <c r="G102" s="127"/>
      <c r="H102" s="119"/>
      <c r="I102" s="119"/>
      <c r="J102" s="119"/>
    </row>
    <row r="103">
      <c r="A103" s="127"/>
      <c r="B103" s="127"/>
      <c r="C103" s="127"/>
      <c r="D103" s="127"/>
      <c r="E103" s="131"/>
      <c r="F103" s="127"/>
      <c r="G103" s="127"/>
      <c r="H103" s="119"/>
      <c r="I103" s="119"/>
      <c r="J103" s="119"/>
    </row>
    <row r="104">
      <c r="A104" s="127"/>
      <c r="B104" s="127"/>
      <c r="C104" s="127"/>
      <c r="D104" s="127"/>
      <c r="E104" s="131"/>
      <c r="F104" s="127"/>
      <c r="G104" s="127"/>
      <c r="H104" s="119"/>
      <c r="I104" s="119"/>
      <c r="J104" s="119"/>
    </row>
    <row r="105">
      <c r="A105" s="127"/>
      <c r="B105" s="127"/>
      <c r="C105" s="127"/>
      <c r="D105" s="127"/>
      <c r="E105" s="131"/>
      <c r="F105" s="127"/>
      <c r="G105" s="127"/>
      <c r="H105" s="119"/>
      <c r="I105" s="119"/>
      <c r="J105" s="119"/>
    </row>
    <row r="106">
      <c r="A106" s="127"/>
      <c r="B106" s="127"/>
      <c r="C106" s="127"/>
      <c r="D106" s="127"/>
      <c r="E106" s="131"/>
      <c r="F106" s="127"/>
      <c r="G106" s="127"/>
      <c r="H106" s="119"/>
      <c r="I106" s="119"/>
      <c r="J106" s="119"/>
    </row>
    <row r="107">
      <c r="A107" s="127"/>
      <c r="B107" s="127"/>
      <c r="C107" s="127"/>
      <c r="D107" s="127"/>
      <c r="E107" s="131"/>
      <c r="F107" s="127"/>
      <c r="G107" s="127"/>
      <c r="H107" s="119"/>
      <c r="I107" s="119"/>
      <c r="J107" s="119"/>
    </row>
    <row r="108">
      <c r="A108" s="127"/>
      <c r="B108" s="127"/>
      <c r="C108" s="127"/>
      <c r="D108" s="127"/>
      <c r="E108" s="131"/>
      <c r="F108" s="127"/>
      <c r="G108" s="127"/>
      <c r="H108" s="119"/>
      <c r="I108" s="119"/>
      <c r="J108" s="119"/>
    </row>
    <row r="109">
      <c r="A109" s="127"/>
      <c r="B109" s="127"/>
      <c r="C109" s="127"/>
      <c r="D109" s="127"/>
      <c r="E109" s="131"/>
      <c r="F109" s="127"/>
      <c r="G109" s="127"/>
      <c r="H109" s="119"/>
      <c r="I109" s="119"/>
      <c r="J109" s="119"/>
    </row>
    <row r="110">
      <c r="A110" s="127"/>
      <c r="B110" s="127"/>
      <c r="C110" s="127"/>
      <c r="D110" s="127"/>
      <c r="E110" s="131"/>
      <c r="F110" s="127"/>
      <c r="G110" s="127"/>
      <c r="H110" s="119"/>
      <c r="I110" s="119"/>
      <c r="J110" s="119"/>
    </row>
    <row r="111">
      <c r="A111" s="127"/>
      <c r="B111" s="127"/>
      <c r="C111" s="127"/>
      <c r="D111" s="127"/>
      <c r="E111" s="131"/>
      <c r="F111" s="127"/>
      <c r="G111" s="127"/>
      <c r="H111" s="119"/>
      <c r="I111" s="119"/>
      <c r="J111" s="119"/>
    </row>
    <row r="112">
      <c r="A112" s="127"/>
      <c r="B112" s="127"/>
      <c r="C112" s="127"/>
      <c r="D112" s="127"/>
      <c r="E112" s="131"/>
      <c r="F112" s="127"/>
      <c r="G112" s="127"/>
      <c r="H112" s="119"/>
      <c r="I112" s="119"/>
      <c r="J112" s="119"/>
    </row>
    <row r="113">
      <c r="A113" s="127"/>
      <c r="B113" s="127"/>
      <c r="C113" s="127"/>
      <c r="D113" s="127"/>
      <c r="E113" s="131"/>
      <c r="F113" s="127"/>
      <c r="G113" s="127"/>
      <c r="H113" s="119"/>
      <c r="I113" s="119"/>
      <c r="J113" s="119"/>
    </row>
    <row r="114">
      <c r="A114" s="127"/>
      <c r="B114" s="127"/>
      <c r="C114" s="127"/>
      <c r="D114" s="127"/>
      <c r="E114" s="131"/>
      <c r="F114" s="127"/>
      <c r="G114" s="127"/>
      <c r="H114" s="119"/>
      <c r="I114" s="119"/>
      <c r="J114" s="119"/>
    </row>
    <row r="115">
      <c r="A115" s="127"/>
      <c r="B115" s="127"/>
      <c r="C115" s="127"/>
      <c r="D115" s="127"/>
      <c r="E115" s="131"/>
      <c r="F115" s="127"/>
      <c r="G115" s="127"/>
      <c r="H115" s="119"/>
      <c r="I115" s="119"/>
      <c r="J115" s="119"/>
    </row>
    <row r="116">
      <c r="A116" s="127"/>
      <c r="B116" s="127"/>
      <c r="C116" s="127"/>
      <c r="D116" s="127"/>
      <c r="E116" s="131"/>
      <c r="F116" s="127"/>
      <c r="G116" s="127"/>
      <c r="H116" s="119"/>
      <c r="I116" s="119"/>
      <c r="J116" s="119"/>
    </row>
    <row r="117">
      <c r="A117" s="127"/>
      <c r="B117" s="127"/>
      <c r="C117" s="127"/>
      <c r="D117" s="127"/>
      <c r="E117" s="131"/>
      <c r="F117" s="127"/>
      <c r="G117" s="127"/>
      <c r="H117" s="119"/>
      <c r="I117" s="119"/>
      <c r="J117" s="119"/>
    </row>
    <row r="118">
      <c r="A118" s="127"/>
      <c r="B118" s="127"/>
      <c r="C118" s="127"/>
      <c r="D118" s="127"/>
      <c r="E118" s="131"/>
      <c r="F118" s="127"/>
      <c r="G118" s="127"/>
      <c r="H118" s="119"/>
      <c r="I118" s="119"/>
      <c r="J118" s="119"/>
    </row>
    <row r="119">
      <c r="A119" s="127"/>
      <c r="B119" s="127"/>
      <c r="C119" s="127"/>
      <c r="D119" s="127"/>
      <c r="E119" s="131"/>
      <c r="F119" s="127"/>
      <c r="G119" s="127"/>
      <c r="H119" s="119"/>
      <c r="I119" s="119"/>
      <c r="J119" s="119"/>
    </row>
    <row r="120">
      <c r="A120" s="127"/>
      <c r="B120" s="127"/>
      <c r="C120" s="127"/>
      <c r="D120" s="127"/>
      <c r="E120" s="131"/>
      <c r="F120" s="127"/>
      <c r="G120" s="127"/>
      <c r="H120" s="119"/>
      <c r="I120" s="119"/>
      <c r="J120" s="119"/>
    </row>
    <row r="121">
      <c r="A121" s="127"/>
      <c r="B121" s="127"/>
      <c r="C121" s="127"/>
      <c r="D121" s="127"/>
      <c r="E121" s="131"/>
      <c r="F121" s="127"/>
      <c r="G121" s="127"/>
      <c r="H121" s="119"/>
      <c r="I121" s="119"/>
      <c r="J121" s="119"/>
    </row>
    <row r="122">
      <c r="A122" s="127"/>
      <c r="B122" s="127"/>
      <c r="C122" s="127"/>
      <c r="D122" s="127"/>
      <c r="E122" s="131"/>
      <c r="F122" s="127"/>
      <c r="G122" s="127"/>
      <c r="H122" s="119"/>
      <c r="I122" s="119"/>
      <c r="J122" s="119"/>
    </row>
    <row r="123">
      <c r="A123" s="127"/>
      <c r="B123" s="127"/>
      <c r="C123" s="127"/>
      <c r="D123" s="127"/>
      <c r="E123" s="131"/>
      <c r="F123" s="127"/>
      <c r="G123" s="127"/>
      <c r="H123" s="119"/>
      <c r="I123" s="119"/>
      <c r="J123" s="119"/>
    </row>
    <row r="124">
      <c r="A124" s="127"/>
      <c r="B124" s="127"/>
      <c r="C124" s="127"/>
      <c r="D124" s="127"/>
      <c r="E124" s="131"/>
      <c r="F124" s="127"/>
      <c r="G124" s="127"/>
      <c r="H124" s="119"/>
      <c r="I124" s="119"/>
      <c r="J124" s="119"/>
    </row>
    <row r="125">
      <c r="A125" s="127"/>
      <c r="B125" s="127"/>
      <c r="C125" s="127"/>
      <c r="D125" s="127"/>
      <c r="E125" s="131"/>
      <c r="F125" s="127"/>
      <c r="G125" s="127"/>
      <c r="H125" s="119"/>
      <c r="I125" s="119"/>
      <c r="J125" s="119"/>
    </row>
    <row r="126">
      <c r="A126" s="127"/>
      <c r="B126" s="127"/>
      <c r="C126" s="127"/>
      <c r="D126" s="127"/>
      <c r="E126" s="131"/>
      <c r="F126" s="127"/>
      <c r="G126" s="127"/>
      <c r="H126" s="119"/>
      <c r="I126" s="119"/>
      <c r="J126" s="119"/>
    </row>
    <row r="127">
      <c r="A127" s="127"/>
      <c r="B127" s="127"/>
      <c r="C127" s="127"/>
      <c r="D127" s="127"/>
      <c r="E127" s="131"/>
      <c r="F127" s="127"/>
      <c r="G127" s="127"/>
      <c r="H127" s="119"/>
      <c r="I127" s="119"/>
      <c r="J127" s="119"/>
    </row>
    <row r="128">
      <c r="A128" s="127"/>
      <c r="B128" s="127"/>
      <c r="C128" s="127"/>
      <c r="D128" s="127"/>
      <c r="E128" s="131"/>
      <c r="F128" s="127"/>
      <c r="G128" s="127"/>
      <c r="H128" s="119"/>
      <c r="I128" s="119"/>
      <c r="J128" s="119"/>
    </row>
    <row r="129">
      <c r="A129" s="127"/>
      <c r="B129" s="127"/>
      <c r="C129" s="127"/>
      <c r="D129" s="127"/>
      <c r="E129" s="131"/>
      <c r="F129" s="127"/>
      <c r="G129" s="127"/>
      <c r="H129" s="119"/>
      <c r="I129" s="119"/>
      <c r="J129" s="119"/>
    </row>
    <row r="130">
      <c r="A130" s="127"/>
      <c r="B130" s="127"/>
      <c r="C130" s="127"/>
      <c r="D130" s="127"/>
      <c r="E130" s="131"/>
      <c r="F130" s="127"/>
      <c r="G130" s="127"/>
      <c r="H130" s="119"/>
      <c r="I130" s="119"/>
      <c r="J130" s="119"/>
    </row>
    <row r="131">
      <c r="A131" s="127"/>
      <c r="B131" s="127"/>
      <c r="C131" s="127"/>
      <c r="D131" s="127"/>
      <c r="E131" s="131"/>
      <c r="F131" s="127"/>
      <c r="G131" s="127"/>
      <c r="H131" s="119"/>
      <c r="I131" s="119"/>
      <c r="J131" s="119"/>
    </row>
    <row r="132">
      <c r="A132" s="127"/>
      <c r="B132" s="127"/>
      <c r="C132" s="127"/>
      <c r="D132" s="127"/>
      <c r="E132" s="131"/>
      <c r="F132" s="127"/>
      <c r="G132" s="127"/>
      <c r="H132" s="119"/>
      <c r="I132" s="119"/>
      <c r="J132" s="119"/>
    </row>
    <row r="133">
      <c r="A133" s="127"/>
      <c r="B133" s="127"/>
      <c r="C133" s="127"/>
      <c r="D133" s="127"/>
      <c r="E133" s="131"/>
      <c r="F133" s="127"/>
      <c r="G133" s="127"/>
      <c r="H133" s="119"/>
      <c r="I133" s="119"/>
      <c r="J133" s="119"/>
    </row>
    <row r="134">
      <c r="A134" s="127"/>
      <c r="B134" s="127"/>
      <c r="C134" s="127"/>
      <c r="D134" s="127"/>
      <c r="E134" s="131"/>
      <c r="F134" s="127"/>
      <c r="G134" s="127"/>
      <c r="H134" s="119"/>
      <c r="I134" s="119"/>
      <c r="J134" s="119"/>
    </row>
    <row r="135">
      <c r="A135" s="127"/>
      <c r="B135" s="127"/>
      <c r="C135" s="127"/>
      <c r="D135" s="127"/>
      <c r="E135" s="131"/>
      <c r="F135" s="127"/>
      <c r="G135" s="127"/>
      <c r="H135" s="119"/>
      <c r="I135" s="119"/>
      <c r="J135" s="119"/>
    </row>
    <row r="136">
      <c r="A136" s="127"/>
      <c r="B136" s="127"/>
      <c r="C136" s="127"/>
      <c r="D136" s="127"/>
      <c r="E136" s="131"/>
      <c r="F136" s="127"/>
      <c r="G136" s="127"/>
      <c r="H136" s="119"/>
      <c r="I136" s="119"/>
      <c r="J136" s="119"/>
    </row>
    <row r="137">
      <c r="A137" s="127"/>
      <c r="B137" s="127"/>
      <c r="C137" s="127"/>
      <c r="D137" s="127"/>
      <c r="E137" s="131"/>
      <c r="F137" s="127"/>
      <c r="G137" s="127"/>
      <c r="H137" s="119"/>
      <c r="I137" s="119"/>
      <c r="J137" s="119"/>
    </row>
    <row r="138">
      <c r="A138" s="127"/>
      <c r="B138" s="127"/>
      <c r="C138" s="127"/>
      <c r="D138" s="127"/>
      <c r="E138" s="131"/>
      <c r="F138" s="127"/>
      <c r="G138" s="127"/>
      <c r="H138" s="119"/>
      <c r="I138" s="119"/>
      <c r="J138" s="119"/>
    </row>
    <row r="139">
      <c r="A139" s="127"/>
      <c r="B139" s="127"/>
      <c r="C139" s="127"/>
      <c r="D139" s="127"/>
      <c r="E139" s="131"/>
      <c r="F139" s="127"/>
      <c r="G139" s="127"/>
      <c r="H139" s="119"/>
      <c r="I139" s="119"/>
      <c r="J139" s="119"/>
    </row>
    <row r="140">
      <c r="A140" s="127"/>
      <c r="B140" s="127"/>
      <c r="C140" s="127"/>
      <c r="D140" s="127"/>
      <c r="E140" s="131"/>
      <c r="F140" s="127"/>
      <c r="G140" s="127"/>
      <c r="H140" s="119"/>
      <c r="I140" s="119"/>
      <c r="J140" s="119"/>
    </row>
    <row r="141">
      <c r="A141" s="127"/>
      <c r="B141" s="127"/>
      <c r="C141" s="127"/>
      <c r="D141" s="127"/>
      <c r="E141" s="131"/>
      <c r="F141" s="127"/>
      <c r="G141" s="127"/>
      <c r="H141" s="119"/>
      <c r="I141" s="119"/>
      <c r="J141" s="119"/>
    </row>
    <row r="142">
      <c r="A142" s="127"/>
      <c r="B142" s="127"/>
      <c r="C142" s="127"/>
      <c r="D142" s="127"/>
      <c r="E142" s="131"/>
      <c r="F142" s="127"/>
      <c r="G142" s="127"/>
      <c r="H142" s="119"/>
      <c r="I142" s="119"/>
      <c r="J142" s="119"/>
    </row>
    <row r="143">
      <c r="A143" s="127"/>
      <c r="B143" s="127"/>
      <c r="C143" s="127"/>
      <c r="D143" s="127"/>
      <c r="E143" s="131"/>
      <c r="F143" s="127"/>
      <c r="G143" s="127"/>
      <c r="H143" s="119"/>
      <c r="I143" s="119"/>
      <c r="J143" s="119"/>
    </row>
    <row r="144">
      <c r="A144" s="127"/>
      <c r="B144" s="127"/>
      <c r="C144" s="127"/>
      <c r="D144" s="127"/>
      <c r="E144" s="131"/>
      <c r="F144" s="127"/>
      <c r="G144" s="127"/>
      <c r="H144" s="119"/>
      <c r="I144" s="119"/>
      <c r="J144" s="119"/>
    </row>
    <row r="145">
      <c r="A145" s="127"/>
      <c r="B145" s="127"/>
      <c r="C145" s="127"/>
      <c r="D145" s="127"/>
      <c r="E145" s="131"/>
      <c r="F145" s="127"/>
      <c r="G145" s="127"/>
      <c r="H145" s="119"/>
      <c r="I145" s="119"/>
      <c r="J145" s="119"/>
    </row>
    <row r="146">
      <c r="A146" s="127"/>
      <c r="B146" s="127"/>
      <c r="C146" s="127"/>
      <c r="D146" s="127"/>
      <c r="E146" s="131"/>
      <c r="F146" s="127"/>
      <c r="G146" s="127"/>
      <c r="H146" s="119"/>
      <c r="I146" s="119"/>
      <c r="J146" s="119"/>
    </row>
    <row r="147">
      <c r="A147" s="127"/>
      <c r="B147" s="127"/>
      <c r="C147" s="127"/>
      <c r="D147" s="127"/>
      <c r="E147" s="131"/>
      <c r="F147" s="127"/>
      <c r="G147" s="127"/>
      <c r="H147" s="119"/>
      <c r="I147" s="119"/>
      <c r="J147" s="119"/>
    </row>
    <row r="148">
      <c r="A148" s="127"/>
      <c r="B148" s="127"/>
      <c r="C148" s="127"/>
      <c r="D148" s="127"/>
      <c r="E148" s="131"/>
      <c r="F148" s="127"/>
      <c r="G148" s="127"/>
      <c r="H148" s="119"/>
      <c r="I148" s="119"/>
      <c r="J148" s="119"/>
    </row>
    <row r="149">
      <c r="A149" s="127"/>
      <c r="B149" s="127"/>
      <c r="C149" s="127"/>
      <c r="D149" s="127"/>
      <c r="E149" s="131"/>
      <c r="F149" s="127"/>
      <c r="G149" s="127"/>
      <c r="H149" s="119"/>
      <c r="I149" s="119"/>
      <c r="J149" s="119"/>
    </row>
    <row r="150">
      <c r="A150" s="127"/>
      <c r="B150" s="127"/>
      <c r="C150" s="127"/>
      <c r="D150" s="127"/>
      <c r="E150" s="131"/>
      <c r="F150" s="127"/>
      <c r="G150" s="127"/>
      <c r="H150" s="119"/>
      <c r="I150" s="119"/>
      <c r="J150" s="119"/>
    </row>
    <row r="151">
      <c r="A151" s="127"/>
      <c r="B151" s="127"/>
      <c r="C151" s="127"/>
      <c r="D151" s="127"/>
      <c r="E151" s="131"/>
      <c r="F151" s="127"/>
      <c r="G151" s="127"/>
      <c r="H151" s="119"/>
      <c r="I151" s="119"/>
      <c r="J151" s="119"/>
    </row>
    <row r="152">
      <c r="A152" s="127"/>
      <c r="B152" s="127"/>
      <c r="C152" s="127"/>
      <c r="D152" s="127"/>
      <c r="E152" s="131"/>
      <c r="F152" s="127"/>
      <c r="G152" s="127"/>
      <c r="H152" s="119"/>
      <c r="I152" s="119"/>
      <c r="J152" s="119"/>
    </row>
    <row r="153">
      <c r="A153" s="127"/>
      <c r="B153" s="127"/>
      <c r="C153" s="127"/>
      <c r="D153" s="127"/>
      <c r="E153" s="131"/>
      <c r="F153" s="127"/>
      <c r="G153" s="127"/>
      <c r="H153" s="119"/>
      <c r="I153" s="119"/>
      <c r="J153" s="119"/>
    </row>
    <row r="154">
      <c r="A154" s="127"/>
      <c r="B154" s="127"/>
      <c r="C154" s="127"/>
      <c r="D154" s="127"/>
      <c r="E154" s="131"/>
      <c r="F154" s="127"/>
      <c r="G154" s="127"/>
      <c r="H154" s="119"/>
      <c r="I154" s="119"/>
      <c r="J154" s="119"/>
    </row>
    <row r="155">
      <c r="A155" s="127"/>
      <c r="B155" s="127"/>
      <c r="C155" s="127"/>
      <c r="D155" s="127"/>
      <c r="E155" s="131"/>
      <c r="F155" s="127"/>
      <c r="G155" s="127"/>
      <c r="H155" s="119"/>
      <c r="I155" s="119"/>
      <c r="J155" s="119"/>
    </row>
    <row r="156">
      <c r="A156" s="127"/>
      <c r="B156" s="127"/>
      <c r="C156" s="127"/>
      <c r="D156" s="127"/>
      <c r="E156" s="131"/>
      <c r="F156" s="127"/>
      <c r="G156" s="127"/>
      <c r="H156" s="119"/>
      <c r="I156" s="119"/>
      <c r="J156" s="119"/>
    </row>
    <row r="157">
      <c r="A157" s="127"/>
      <c r="B157" s="127"/>
      <c r="C157" s="127"/>
      <c r="D157" s="127"/>
      <c r="E157" s="131"/>
      <c r="F157" s="127"/>
      <c r="G157" s="127"/>
      <c r="H157" s="119"/>
      <c r="I157" s="119"/>
      <c r="J157" s="119"/>
    </row>
    <row r="158">
      <c r="A158" s="127"/>
      <c r="B158" s="127"/>
      <c r="C158" s="127"/>
      <c r="D158" s="127"/>
      <c r="E158" s="131"/>
      <c r="F158" s="127"/>
      <c r="G158" s="127"/>
      <c r="H158" s="119"/>
      <c r="I158" s="119"/>
      <c r="J158" s="119"/>
    </row>
    <row r="159">
      <c r="A159" s="127"/>
      <c r="B159" s="127"/>
      <c r="C159" s="127"/>
      <c r="D159" s="127"/>
      <c r="E159" s="131"/>
      <c r="F159" s="127"/>
      <c r="G159" s="127"/>
      <c r="H159" s="119"/>
      <c r="I159" s="119"/>
      <c r="J159" s="119"/>
    </row>
    <row r="160">
      <c r="A160" s="127"/>
      <c r="B160" s="127"/>
      <c r="C160" s="127"/>
      <c r="D160" s="127"/>
      <c r="E160" s="131"/>
      <c r="F160" s="127"/>
      <c r="G160" s="127"/>
      <c r="H160" s="119"/>
      <c r="I160" s="119"/>
      <c r="J160" s="119"/>
    </row>
    <row r="161">
      <c r="A161" s="127"/>
      <c r="B161" s="127"/>
      <c r="C161" s="127"/>
      <c r="D161" s="127"/>
      <c r="E161" s="131"/>
      <c r="F161" s="127"/>
      <c r="G161" s="127"/>
      <c r="H161" s="119"/>
      <c r="I161" s="119"/>
      <c r="J161" s="119"/>
    </row>
    <row r="162">
      <c r="A162" s="127"/>
      <c r="B162" s="127"/>
      <c r="C162" s="127"/>
      <c r="D162" s="127"/>
      <c r="E162" s="131"/>
      <c r="F162" s="127"/>
      <c r="G162" s="127"/>
      <c r="H162" s="119"/>
      <c r="I162" s="119"/>
      <c r="J162" s="119"/>
    </row>
    <row r="163">
      <c r="A163" s="127"/>
      <c r="B163" s="127"/>
      <c r="C163" s="127"/>
      <c r="D163" s="127"/>
      <c r="E163" s="131"/>
      <c r="F163" s="127"/>
      <c r="G163" s="127"/>
      <c r="H163" s="119"/>
      <c r="I163" s="119"/>
      <c r="J163" s="119"/>
    </row>
    <row r="164">
      <c r="A164" s="127"/>
      <c r="B164" s="127"/>
      <c r="C164" s="127"/>
      <c r="D164" s="127"/>
      <c r="E164" s="131"/>
      <c r="F164" s="127"/>
      <c r="G164" s="127"/>
      <c r="H164" s="119"/>
      <c r="I164" s="119"/>
      <c r="J164" s="119"/>
    </row>
    <row r="165">
      <c r="A165" s="127"/>
      <c r="B165" s="127"/>
      <c r="C165" s="127"/>
      <c r="D165" s="127"/>
      <c r="E165" s="131"/>
      <c r="F165" s="127"/>
      <c r="G165" s="127"/>
      <c r="H165" s="119"/>
      <c r="I165" s="119"/>
      <c r="J165" s="119"/>
    </row>
    <row r="166">
      <c r="A166" s="127"/>
      <c r="B166" s="127"/>
      <c r="C166" s="127"/>
      <c r="D166" s="127"/>
      <c r="E166" s="131"/>
      <c r="F166" s="127"/>
      <c r="G166" s="127"/>
      <c r="H166" s="119"/>
      <c r="I166" s="119"/>
      <c r="J166" s="119"/>
    </row>
    <row r="167">
      <c r="A167" s="127"/>
      <c r="B167" s="127"/>
      <c r="C167" s="127"/>
      <c r="D167" s="127"/>
      <c r="E167" s="131"/>
      <c r="F167" s="127"/>
      <c r="G167" s="127"/>
      <c r="H167" s="119"/>
      <c r="I167" s="119"/>
      <c r="J167" s="119"/>
    </row>
    <row r="168">
      <c r="A168" s="127"/>
      <c r="B168" s="127"/>
      <c r="C168" s="127"/>
      <c r="D168" s="127"/>
      <c r="E168" s="131"/>
      <c r="F168" s="127"/>
      <c r="G168" s="127"/>
      <c r="H168" s="119"/>
      <c r="I168" s="119"/>
      <c r="J168" s="119"/>
    </row>
    <row r="169">
      <c r="A169" s="127"/>
      <c r="B169" s="127"/>
      <c r="C169" s="127"/>
      <c r="D169" s="127"/>
      <c r="E169" s="131"/>
      <c r="F169" s="127"/>
      <c r="G169" s="127"/>
      <c r="H169" s="119"/>
      <c r="I169" s="119"/>
      <c r="J169" s="119"/>
    </row>
    <row r="170">
      <c r="A170" s="127"/>
      <c r="B170" s="127"/>
      <c r="C170" s="127"/>
      <c r="D170" s="127"/>
      <c r="E170" s="131"/>
      <c r="F170" s="127"/>
      <c r="G170" s="127"/>
      <c r="H170" s="119"/>
      <c r="I170" s="119"/>
      <c r="J170" s="119"/>
    </row>
    <row r="171">
      <c r="A171" s="127"/>
      <c r="B171" s="127"/>
      <c r="C171" s="127"/>
      <c r="D171" s="127"/>
      <c r="E171" s="131"/>
      <c r="F171" s="127"/>
      <c r="G171" s="127"/>
      <c r="H171" s="119"/>
      <c r="I171" s="119"/>
      <c r="J171" s="119"/>
    </row>
    <row r="172">
      <c r="A172" s="127"/>
      <c r="B172" s="127"/>
      <c r="C172" s="127"/>
      <c r="D172" s="127"/>
      <c r="E172" s="131"/>
      <c r="F172" s="127"/>
      <c r="G172" s="127"/>
      <c r="H172" s="119"/>
      <c r="I172" s="119"/>
      <c r="J172" s="119"/>
    </row>
    <row r="173">
      <c r="A173" s="127"/>
      <c r="B173" s="127"/>
      <c r="C173" s="127"/>
      <c r="D173" s="127"/>
      <c r="E173" s="131"/>
      <c r="F173" s="127"/>
      <c r="G173" s="127"/>
      <c r="H173" s="119"/>
      <c r="I173" s="119"/>
      <c r="J173" s="119"/>
    </row>
    <row r="174">
      <c r="A174" s="127"/>
      <c r="B174" s="127"/>
      <c r="C174" s="127"/>
      <c r="D174" s="127"/>
      <c r="E174" s="131"/>
      <c r="F174" s="127"/>
      <c r="G174" s="127"/>
      <c r="H174" s="119"/>
      <c r="I174" s="119"/>
      <c r="J174" s="119"/>
    </row>
    <row r="175">
      <c r="A175" s="127"/>
      <c r="B175" s="127"/>
      <c r="C175" s="127"/>
      <c r="D175" s="127"/>
      <c r="E175" s="131"/>
      <c r="F175" s="127"/>
      <c r="G175" s="127"/>
      <c r="H175" s="119"/>
      <c r="I175" s="135"/>
      <c r="J175" s="135"/>
    </row>
    <row r="176">
      <c r="A176" s="127"/>
      <c r="B176" s="127"/>
      <c r="C176" s="127"/>
      <c r="D176" s="127"/>
      <c r="E176" s="131"/>
      <c r="F176" s="127"/>
      <c r="G176" s="127"/>
      <c r="H176" s="119"/>
      <c r="I176" s="135"/>
      <c r="J176" s="135"/>
    </row>
    <row r="177">
      <c r="A177" s="127"/>
      <c r="B177" s="127"/>
      <c r="C177" s="127"/>
      <c r="D177" s="127"/>
      <c r="E177" s="131"/>
      <c r="F177" s="127"/>
      <c r="G177" s="127"/>
      <c r="H177" s="119"/>
      <c r="I177" s="135"/>
      <c r="J177" s="135"/>
    </row>
    <row r="178">
      <c r="A178" s="127"/>
      <c r="B178" s="127"/>
      <c r="C178" s="127"/>
      <c r="D178" s="127"/>
      <c r="E178" s="131"/>
      <c r="F178" s="127"/>
      <c r="G178" s="127"/>
      <c r="H178" s="119"/>
      <c r="I178" s="135"/>
      <c r="J178" s="135"/>
    </row>
    <row r="179">
      <c r="A179" s="127"/>
      <c r="B179" s="127"/>
      <c r="C179" s="127"/>
      <c r="D179" s="127"/>
      <c r="E179" s="131"/>
      <c r="F179" s="127"/>
      <c r="G179" s="127"/>
      <c r="H179" s="119"/>
      <c r="I179" s="135"/>
      <c r="J179" s="135"/>
    </row>
    <row r="180">
      <c r="A180" s="127"/>
      <c r="B180" s="127"/>
      <c r="C180" s="127"/>
      <c r="D180" s="127"/>
      <c r="E180" s="131"/>
      <c r="F180" s="127"/>
      <c r="G180" s="127"/>
      <c r="H180" s="119"/>
      <c r="I180" s="135"/>
      <c r="J180" s="135"/>
    </row>
    <row r="181">
      <c r="A181" s="127"/>
      <c r="B181" s="127"/>
      <c r="C181" s="127"/>
      <c r="D181" s="127"/>
      <c r="E181" s="131"/>
      <c r="F181" s="127"/>
      <c r="G181" s="127"/>
      <c r="H181" s="119"/>
      <c r="I181" s="135"/>
      <c r="J181" s="135"/>
    </row>
    <row r="182">
      <c r="A182" s="127"/>
      <c r="B182" s="127"/>
      <c r="C182" s="127"/>
      <c r="D182" s="127"/>
      <c r="E182" s="131"/>
      <c r="F182" s="127"/>
      <c r="G182" s="127"/>
      <c r="H182" s="119"/>
      <c r="I182" s="135"/>
      <c r="J182" s="135"/>
    </row>
    <row r="183">
      <c r="A183" s="127"/>
      <c r="B183" s="127"/>
      <c r="C183" s="127"/>
      <c r="D183" s="127"/>
      <c r="E183" s="131"/>
      <c r="F183" s="127"/>
      <c r="G183" s="127"/>
      <c r="H183" s="119"/>
      <c r="I183" s="135"/>
      <c r="J183" s="135"/>
    </row>
    <row r="184">
      <c r="A184" s="127"/>
      <c r="B184" s="127"/>
      <c r="C184" s="127"/>
      <c r="D184" s="127"/>
      <c r="E184" s="131"/>
      <c r="F184" s="127"/>
      <c r="G184" s="127"/>
      <c r="H184" s="119"/>
      <c r="I184" s="135"/>
      <c r="J184" s="135"/>
    </row>
    <row r="185">
      <c r="A185" s="127"/>
      <c r="B185" s="127"/>
      <c r="C185" s="127"/>
      <c r="D185" s="127"/>
      <c r="E185" s="131"/>
      <c r="F185" s="127"/>
      <c r="G185" s="127"/>
      <c r="H185" s="119"/>
      <c r="I185" s="135"/>
      <c r="J185" s="135"/>
    </row>
    <row r="186">
      <c r="A186" s="127"/>
      <c r="B186" s="127"/>
      <c r="C186" s="127"/>
      <c r="D186" s="127"/>
      <c r="E186" s="131"/>
      <c r="F186" s="127"/>
      <c r="G186" s="127"/>
      <c r="H186" s="119"/>
      <c r="I186" s="135"/>
      <c r="J186" s="135"/>
    </row>
    <row r="187">
      <c r="A187" s="127"/>
      <c r="B187" s="127"/>
      <c r="C187" s="127"/>
      <c r="D187" s="127"/>
      <c r="E187" s="131"/>
      <c r="F187" s="127"/>
      <c r="G187" s="127"/>
      <c r="H187" s="119"/>
      <c r="I187" s="135"/>
      <c r="J187" s="135"/>
    </row>
    <row r="188">
      <c r="A188" s="127"/>
      <c r="B188" s="127"/>
      <c r="C188" s="127"/>
      <c r="D188" s="127"/>
      <c r="E188" s="131"/>
      <c r="F188" s="127"/>
      <c r="G188" s="127"/>
      <c r="H188" s="119"/>
      <c r="I188" s="135"/>
      <c r="J188" s="135"/>
    </row>
    <row r="189">
      <c r="A189" s="127"/>
      <c r="B189" s="127"/>
      <c r="C189" s="127"/>
      <c r="D189" s="127"/>
      <c r="E189" s="131"/>
      <c r="F189" s="127"/>
      <c r="G189" s="127"/>
      <c r="H189" s="119"/>
      <c r="I189" s="135"/>
      <c r="J189" s="135"/>
    </row>
    <row r="190">
      <c r="A190" s="127"/>
      <c r="B190" s="127"/>
      <c r="C190" s="127"/>
      <c r="D190" s="127"/>
      <c r="E190" s="131"/>
      <c r="F190" s="127"/>
      <c r="G190" s="127"/>
      <c r="H190" s="119"/>
      <c r="I190" s="135"/>
      <c r="J190" s="135"/>
    </row>
    <row r="191">
      <c r="A191" s="127"/>
      <c r="B191" s="127"/>
      <c r="C191" s="127"/>
      <c r="D191" s="127"/>
      <c r="E191" s="131"/>
      <c r="F191" s="127"/>
      <c r="G191" s="127"/>
      <c r="H191" s="119"/>
      <c r="I191" s="135"/>
      <c r="J191" s="135"/>
    </row>
    <row r="192">
      <c r="A192" s="127"/>
      <c r="B192" s="127"/>
      <c r="C192" s="127"/>
      <c r="D192" s="127"/>
      <c r="E192" s="131"/>
      <c r="F192" s="127"/>
      <c r="G192" s="127"/>
      <c r="H192" s="119"/>
      <c r="I192" s="135"/>
      <c r="J192" s="135"/>
    </row>
    <row r="193">
      <c r="A193" s="127"/>
      <c r="B193" s="127"/>
      <c r="C193" s="127"/>
      <c r="D193" s="127"/>
      <c r="E193" s="131"/>
      <c r="F193" s="127"/>
      <c r="G193" s="127"/>
      <c r="H193" s="119"/>
      <c r="I193" s="135"/>
      <c r="J193" s="135"/>
    </row>
    <row r="194">
      <c r="A194" s="127"/>
      <c r="B194" s="127"/>
      <c r="C194" s="127"/>
      <c r="D194" s="127"/>
      <c r="E194" s="131"/>
      <c r="F194" s="127"/>
      <c r="G194" s="127"/>
      <c r="H194" s="119"/>
      <c r="I194" s="135"/>
      <c r="J194" s="135"/>
    </row>
    <row r="195">
      <c r="A195" s="127"/>
      <c r="B195" s="127"/>
      <c r="C195" s="127"/>
      <c r="D195" s="127"/>
      <c r="E195" s="131"/>
      <c r="F195" s="127"/>
      <c r="G195" s="127"/>
      <c r="H195" s="119"/>
      <c r="I195" s="135"/>
      <c r="J195" s="135"/>
    </row>
    <row r="196">
      <c r="A196" s="127"/>
      <c r="B196" s="127"/>
      <c r="C196" s="127"/>
      <c r="D196" s="127"/>
      <c r="E196" s="131"/>
      <c r="F196" s="127"/>
      <c r="G196" s="127"/>
      <c r="H196" s="119"/>
      <c r="I196" s="135"/>
      <c r="J196" s="135"/>
    </row>
    <row r="197">
      <c r="A197" s="127"/>
      <c r="B197" s="127"/>
      <c r="C197" s="127"/>
      <c r="D197" s="127"/>
      <c r="E197" s="131"/>
      <c r="F197" s="127"/>
      <c r="G197" s="127"/>
      <c r="H197" s="119"/>
      <c r="I197" s="135"/>
      <c r="J197" s="135"/>
    </row>
    <row r="198">
      <c r="A198" s="127"/>
      <c r="B198" s="127"/>
      <c r="C198" s="127"/>
      <c r="D198" s="127"/>
      <c r="E198" s="131"/>
      <c r="F198" s="127"/>
      <c r="G198" s="127"/>
      <c r="H198" s="119"/>
      <c r="I198" s="135"/>
      <c r="J198" s="135"/>
    </row>
    <row r="199">
      <c r="A199" s="127"/>
      <c r="B199" s="127"/>
      <c r="C199" s="127"/>
      <c r="D199" s="127"/>
      <c r="E199" s="131"/>
      <c r="F199" s="127"/>
      <c r="G199" s="127"/>
      <c r="H199" s="119"/>
      <c r="I199" s="135"/>
      <c r="J199" s="135"/>
    </row>
    <row r="200">
      <c r="A200" s="127"/>
      <c r="B200" s="127"/>
      <c r="C200" s="127"/>
      <c r="D200" s="127"/>
      <c r="E200" s="131"/>
      <c r="F200" s="127"/>
      <c r="G200" s="127"/>
      <c r="H200" s="119"/>
      <c r="I200" s="135"/>
      <c r="J200" s="135"/>
    </row>
    <row r="201">
      <c r="A201" s="127"/>
      <c r="B201" s="127"/>
      <c r="C201" s="127"/>
      <c r="D201" s="127"/>
      <c r="E201" s="131"/>
      <c r="F201" s="127"/>
      <c r="G201" s="127"/>
      <c r="H201" s="119"/>
      <c r="I201" s="135"/>
      <c r="J201" s="135"/>
    </row>
    <row r="202">
      <c r="A202" s="127"/>
      <c r="B202" s="127"/>
      <c r="C202" s="127"/>
      <c r="D202" s="127"/>
      <c r="E202" s="131"/>
      <c r="F202" s="127"/>
      <c r="G202" s="127"/>
      <c r="H202" s="119"/>
      <c r="I202" s="135"/>
      <c r="J202" s="135"/>
    </row>
    <row r="203">
      <c r="A203" s="127"/>
      <c r="B203" s="127"/>
      <c r="C203" s="127"/>
      <c r="D203" s="127"/>
      <c r="E203" s="131"/>
      <c r="F203" s="127"/>
      <c r="G203" s="127"/>
      <c r="H203" s="119"/>
      <c r="I203" s="135"/>
      <c r="J203" s="135"/>
    </row>
    <row r="204">
      <c r="A204" s="127"/>
      <c r="B204" s="127"/>
      <c r="C204" s="127"/>
      <c r="D204" s="127"/>
      <c r="E204" s="131"/>
      <c r="F204" s="127"/>
      <c r="G204" s="127"/>
      <c r="H204" s="119"/>
      <c r="I204" s="135"/>
      <c r="J204" s="135"/>
    </row>
    <row r="205">
      <c r="A205" s="127"/>
      <c r="B205" s="127"/>
      <c r="C205" s="127"/>
      <c r="D205" s="127"/>
      <c r="E205" s="131"/>
      <c r="F205" s="127"/>
      <c r="G205" s="127"/>
      <c r="H205" s="119"/>
      <c r="I205" s="135"/>
      <c r="J205" s="135"/>
    </row>
    <row r="206">
      <c r="A206" s="127"/>
      <c r="B206" s="127"/>
      <c r="C206" s="127"/>
      <c r="D206" s="127"/>
      <c r="E206" s="131"/>
      <c r="F206" s="127"/>
      <c r="G206" s="127"/>
      <c r="H206" s="119"/>
      <c r="I206" s="135"/>
      <c r="J206" s="135"/>
    </row>
    <row r="207">
      <c r="A207" s="127"/>
      <c r="B207" s="127"/>
      <c r="C207" s="127"/>
      <c r="D207" s="127"/>
      <c r="E207" s="131"/>
      <c r="F207" s="127"/>
      <c r="G207" s="127"/>
      <c r="H207" s="119"/>
      <c r="I207" s="135"/>
      <c r="J207" s="135"/>
    </row>
    <row r="208">
      <c r="A208" s="127"/>
      <c r="B208" s="127"/>
      <c r="C208" s="127"/>
      <c r="D208" s="127"/>
      <c r="E208" s="131"/>
      <c r="F208" s="127"/>
      <c r="G208" s="127"/>
      <c r="H208" s="119"/>
      <c r="I208" s="135"/>
      <c r="J208" s="135"/>
    </row>
    <row r="209">
      <c r="A209" s="127"/>
      <c r="B209" s="127"/>
      <c r="C209" s="127"/>
      <c r="D209" s="127"/>
      <c r="E209" s="131"/>
      <c r="F209" s="127"/>
      <c r="G209" s="127"/>
      <c r="H209" s="119"/>
      <c r="I209" s="135"/>
      <c r="J209" s="135"/>
    </row>
    <row r="210">
      <c r="A210" s="127"/>
      <c r="B210" s="127"/>
      <c r="C210" s="127"/>
      <c r="D210" s="127"/>
      <c r="E210" s="131"/>
      <c r="F210" s="127"/>
      <c r="G210" s="127"/>
      <c r="H210" s="119"/>
      <c r="I210" s="135"/>
      <c r="J210" s="135"/>
    </row>
    <row r="211">
      <c r="A211" s="127"/>
      <c r="B211" s="127"/>
      <c r="C211" s="127"/>
      <c r="D211" s="127"/>
      <c r="E211" s="131"/>
      <c r="F211" s="127"/>
      <c r="G211" s="127"/>
      <c r="H211" s="119"/>
      <c r="I211" s="135"/>
      <c r="J211" s="135"/>
    </row>
    <row r="212">
      <c r="A212" s="127"/>
      <c r="B212" s="127"/>
      <c r="C212" s="127"/>
      <c r="D212" s="127"/>
      <c r="E212" s="131"/>
      <c r="F212" s="127"/>
      <c r="G212" s="127"/>
      <c r="H212" s="119"/>
      <c r="I212" s="135"/>
      <c r="J212" s="135"/>
    </row>
    <row r="213">
      <c r="A213" s="127"/>
      <c r="B213" s="127"/>
      <c r="C213" s="127"/>
      <c r="D213" s="127"/>
      <c r="E213" s="131"/>
      <c r="F213" s="127"/>
      <c r="G213" s="127"/>
      <c r="H213" s="119"/>
      <c r="I213" s="135"/>
      <c r="J213" s="135"/>
    </row>
    <row r="214">
      <c r="A214" s="127"/>
      <c r="B214" s="127"/>
      <c r="C214" s="127"/>
      <c r="D214" s="127"/>
      <c r="E214" s="131"/>
      <c r="F214" s="127"/>
      <c r="G214" s="127"/>
      <c r="H214" s="119"/>
      <c r="I214" s="135"/>
      <c r="J214" s="135"/>
    </row>
    <row r="215">
      <c r="A215" s="127"/>
      <c r="B215" s="127"/>
      <c r="C215" s="127"/>
      <c r="D215" s="127"/>
      <c r="E215" s="131"/>
      <c r="F215" s="127"/>
      <c r="G215" s="127"/>
      <c r="H215" s="119"/>
      <c r="I215" s="135"/>
      <c r="J215" s="135"/>
    </row>
    <row r="216">
      <c r="A216" s="127"/>
      <c r="B216" s="127"/>
      <c r="C216" s="127"/>
      <c r="D216" s="127"/>
      <c r="E216" s="131"/>
      <c r="F216" s="127"/>
      <c r="G216" s="127"/>
      <c r="H216" s="119"/>
      <c r="I216" s="135"/>
      <c r="J216" s="135"/>
    </row>
    <row r="217">
      <c r="A217" s="127"/>
      <c r="B217" s="127"/>
      <c r="C217" s="127"/>
      <c r="D217" s="127"/>
      <c r="E217" s="131"/>
      <c r="F217" s="127"/>
      <c r="G217" s="127"/>
      <c r="H217" s="119"/>
      <c r="I217" s="135"/>
      <c r="J217" s="135"/>
    </row>
    <row r="218">
      <c r="A218" s="127"/>
      <c r="B218" s="127"/>
      <c r="C218" s="127"/>
      <c r="D218" s="127"/>
      <c r="E218" s="131"/>
      <c r="F218" s="127"/>
      <c r="G218" s="127"/>
      <c r="H218" s="119"/>
      <c r="I218" s="135"/>
      <c r="J218" s="135"/>
    </row>
    <row r="219">
      <c r="A219" s="127"/>
      <c r="B219" s="127"/>
      <c r="C219" s="127"/>
      <c r="D219" s="127"/>
      <c r="E219" s="131"/>
      <c r="F219" s="127"/>
      <c r="G219" s="127"/>
      <c r="H219" s="119"/>
      <c r="I219" s="135"/>
      <c r="J219" s="135"/>
    </row>
    <row r="220">
      <c r="A220" s="127"/>
      <c r="B220" s="127"/>
      <c r="C220" s="127"/>
      <c r="D220" s="127"/>
      <c r="E220" s="131"/>
      <c r="F220" s="127"/>
      <c r="G220" s="127"/>
      <c r="H220" s="119"/>
      <c r="I220" s="135"/>
      <c r="J220" s="135"/>
    </row>
    <row r="221">
      <c r="A221" s="127"/>
      <c r="B221" s="127"/>
      <c r="C221" s="127"/>
      <c r="D221" s="127"/>
      <c r="E221" s="131"/>
      <c r="F221" s="127"/>
      <c r="G221" s="127"/>
      <c r="H221" s="119"/>
      <c r="I221" s="135"/>
      <c r="J221" s="135"/>
    </row>
    <row r="222">
      <c r="A222" s="127"/>
      <c r="B222" s="127"/>
      <c r="C222" s="127"/>
      <c r="D222" s="127"/>
      <c r="E222" s="131"/>
      <c r="F222" s="127"/>
      <c r="G222" s="127"/>
      <c r="H222" s="119"/>
      <c r="I222" s="135"/>
      <c r="J222" s="135"/>
    </row>
    <row r="223">
      <c r="A223" s="127"/>
      <c r="B223" s="127"/>
      <c r="C223" s="127"/>
      <c r="D223" s="127"/>
      <c r="E223" s="131"/>
      <c r="F223" s="127"/>
      <c r="G223" s="127"/>
      <c r="H223" s="119"/>
      <c r="I223" s="135"/>
      <c r="J223" s="135"/>
    </row>
    <row r="224">
      <c r="A224" s="127"/>
      <c r="B224" s="127"/>
      <c r="C224" s="127"/>
      <c r="D224" s="127"/>
      <c r="E224" s="131"/>
      <c r="F224" s="127"/>
      <c r="G224" s="127"/>
      <c r="H224" s="119"/>
      <c r="I224" s="135"/>
      <c r="J224" s="135"/>
    </row>
    <row r="225">
      <c r="A225" s="127"/>
      <c r="B225" s="127"/>
      <c r="C225" s="127"/>
      <c r="D225" s="127"/>
      <c r="E225" s="131"/>
      <c r="F225" s="127"/>
      <c r="G225" s="127"/>
      <c r="H225" s="119"/>
      <c r="I225" s="135"/>
      <c r="J225" s="135"/>
    </row>
    <row r="226">
      <c r="A226" s="127"/>
      <c r="B226" s="127"/>
      <c r="C226" s="127"/>
      <c r="D226" s="127"/>
      <c r="E226" s="131"/>
      <c r="F226" s="127"/>
      <c r="G226" s="127"/>
      <c r="H226" s="119"/>
      <c r="I226" s="135"/>
      <c r="J226" s="135"/>
    </row>
    <row r="227">
      <c r="A227" s="127"/>
      <c r="B227" s="127"/>
      <c r="C227" s="127"/>
      <c r="D227" s="127"/>
      <c r="E227" s="131"/>
      <c r="F227" s="127"/>
      <c r="G227" s="127"/>
      <c r="H227" s="119"/>
      <c r="I227" s="135"/>
      <c r="J227" s="135"/>
    </row>
    <row r="228">
      <c r="A228" s="127"/>
      <c r="B228" s="127"/>
      <c r="C228" s="127"/>
      <c r="D228" s="127"/>
      <c r="E228" s="131"/>
      <c r="F228" s="127"/>
      <c r="G228" s="127"/>
      <c r="H228" s="119"/>
      <c r="I228" s="135"/>
      <c r="J228" s="135"/>
    </row>
    <row r="229">
      <c r="A229" s="127"/>
      <c r="B229" s="127"/>
      <c r="C229" s="127"/>
      <c r="D229" s="127"/>
      <c r="E229" s="131"/>
      <c r="F229" s="127"/>
      <c r="G229" s="127"/>
      <c r="H229" s="119"/>
      <c r="I229" s="135"/>
      <c r="J229" s="135"/>
    </row>
    <row r="230">
      <c r="A230" s="127"/>
      <c r="B230" s="127"/>
      <c r="C230" s="127"/>
      <c r="D230" s="127"/>
      <c r="E230" s="131"/>
      <c r="F230" s="127"/>
      <c r="G230" s="127"/>
      <c r="H230" s="119"/>
      <c r="I230" s="135"/>
      <c r="J230" s="135"/>
    </row>
    <row r="231">
      <c r="A231" s="127"/>
      <c r="B231" s="127"/>
      <c r="C231" s="127"/>
      <c r="D231" s="127"/>
      <c r="E231" s="131"/>
      <c r="F231" s="127"/>
      <c r="G231" s="127"/>
      <c r="H231" s="119"/>
      <c r="I231" s="135"/>
      <c r="J231" s="135"/>
    </row>
    <row r="232">
      <c r="A232" s="127"/>
      <c r="B232" s="127"/>
      <c r="C232" s="127"/>
      <c r="D232" s="127"/>
      <c r="E232" s="131"/>
      <c r="F232" s="127"/>
      <c r="G232" s="127"/>
      <c r="H232" s="119"/>
      <c r="I232" s="135"/>
      <c r="J232" s="135"/>
    </row>
    <row r="233">
      <c r="A233" s="127"/>
      <c r="B233" s="127"/>
      <c r="C233" s="127"/>
      <c r="D233" s="127"/>
      <c r="E233" s="131"/>
      <c r="F233" s="127"/>
      <c r="G233" s="127"/>
      <c r="H233" s="119"/>
      <c r="I233" s="135"/>
      <c r="J233" s="135"/>
    </row>
    <row r="234">
      <c r="A234" s="127"/>
      <c r="B234" s="127"/>
      <c r="C234" s="127"/>
      <c r="D234" s="127"/>
      <c r="E234" s="131"/>
      <c r="F234" s="127"/>
      <c r="G234" s="127"/>
      <c r="H234" s="119"/>
      <c r="I234" s="135"/>
      <c r="J234" s="135"/>
    </row>
    <row r="235">
      <c r="A235" s="127"/>
      <c r="B235" s="127"/>
      <c r="C235" s="127"/>
      <c r="D235" s="127"/>
      <c r="E235" s="131"/>
      <c r="F235" s="127"/>
      <c r="G235" s="127"/>
      <c r="H235" s="119"/>
      <c r="I235" s="135"/>
      <c r="J235" s="135"/>
    </row>
    <row r="236">
      <c r="A236" s="127"/>
      <c r="B236" s="127"/>
      <c r="C236" s="127"/>
      <c r="D236" s="127"/>
      <c r="E236" s="131"/>
      <c r="F236" s="127"/>
      <c r="G236" s="127"/>
      <c r="H236" s="119"/>
      <c r="I236" s="135"/>
      <c r="J236" s="135"/>
    </row>
    <row r="237">
      <c r="A237" s="127"/>
      <c r="B237" s="127"/>
      <c r="C237" s="127"/>
      <c r="D237" s="127"/>
      <c r="E237" s="131"/>
      <c r="F237" s="127"/>
      <c r="G237" s="127"/>
      <c r="H237" s="119"/>
      <c r="I237" s="135"/>
      <c r="J237" s="135"/>
    </row>
    <row r="238">
      <c r="A238" s="127"/>
      <c r="B238" s="127"/>
      <c r="C238" s="127"/>
      <c r="D238" s="127"/>
      <c r="E238" s="131"/>
      <c r="F238" s="127"/>
      <c r="G238" s="127"/>
      <c r="H238" s="119"/>
      <c r="I238" s="135"/>
      <c r="J238" s="135"/>
    </row>
    <row r="239">
      <c r="A239" s="127"/>
      <c r="B239" s="127"/>
      <c r="C239" s="127"/>
      <c r="D239" s="127"/>
      <c r="E239" s="131"/>
      <c r="F239" s="127"/>
      <c r="G239" s="127"/>
      <c r="H239" s="119"/>
      <c r="I239" s="135"/>
      <c r="J239" s="135"/>
    </row>
    <row r="240">
      <c r="A240" s="127"/>
      <c r="B240" s="127"/>
      <c r="C240" s="127"/>
      <c r="D240" s="127"/>
      <c r="E240" s="131"/>
      <c r="F240" s="127"/>
      <c r="G240" s="127"/>
      <c r="H240" s="119"/>
      <c r="I240" s="135"/>
      <c r="J240" s="135"/>
    </row>
    <row r="241">
      <c r="A241" s="127"/>
      <c r="B241" s="127"/>
      <c r="C241" s="127"/>
      <c r="D241" s="127"/>
      <c r="E241" s="131"/>
      <c r="F241" s="127"/>
      <c r="G241" s="127"/>
      <c r="H241" s="119"/>
      <c r="I241" s="135"/>
      <c r="J241" s="135"/>
    </row>
    <row r="242">
      <c r="A242" s="127"/>
      <c r="B242" s="127"/>
      <c r="C242" s="127"/>
      <c r="D242" s="127"/>
      <c r="E242" s="131"/>
      <c r="F242" s="127"/>
      <c r="G242" s="127"/>
      <c r="H242" s="119"/>
      <c r="I242" s="135"/>
      <c r="J242" s="135"/>
    </row>
    <row r="243">
      <c r="A243" s="127"/>
      <c r="B243" s="127"/>
      <c r="C243" s="127"/>
      <c r="D243" s="127"/>
      <c r="E243" s="131"/>
      <c r="F243" s="127"/>
      <c r="G243" s="127"/>
      <c r="H243" s="119"/>
      <c r="I243" s="135"/>
      <c r="J243" s="135"/>
    </row>
    <row r="244">
      <c r="A244" s="127"/>
      <c r="B244" s="127"/>
      <c r="C244" s="127"/>
      <c r="D244" s="127"/>
      <c r="E244" s="131"/>
      <c r="F244" s="127"/>
      <c r="G244" s="127"/>
      <c r="H244" s="119"/>
      <c r="I244" s="135"/>
      <c r="J244" s="135"/>
    </row>
    <row r="245">
      <c r="A245" s="127"/>
      <c r="B245" s="127"/>
      <c r="C245" s="127"/>
      <c r="D245" s="127"/>
      <c r="E245" s="131"/>
      <c r="F245" s="127"/>
      <c r="G245" s="127"/>
      <c r="H245" s="119"/>
      <c r="I245" s="135"/>
      <c r="J245" s="135"/>
    </row>
    <row r="246">
      <c r="A246" s="127"/>
      <c r="B246" s="127"/>
      <c r="C246" s="127"/>
      <c r="D246" s="127"/>
      <c r="E246" s="131"/>
      <c r="F246" s="127"/>
      <c r="G246" s="127"/>
      <c r="H246" s="119"/>
      <c r="I246" s="135"/>
      <c r="J246" s="135"/>
    </row>
    <row r="247">
      <c r="A247" s="127"/>
      <c r="B247" s="127"/>
      <c r="C247" s="127"/>
      <c r="D247" s="127"/>
      <c r="E247" s="131"/>
      <c r="F247" s="127"/>
      <c r="G247" s="127"/>
      <c r="H247" s="119"/>
      <c r="I247" s="135"/>
      <c r="J247" s="135"/>
    </row>
    <row r="248">
      <c r="A248" s="127"/>
      <c r="B248" s="127"/>
      <c r="C248" s="127"/>
      <c r="D248" s="127"/>
      <c r="E248" s="131"/>
      <c r="F248" s="127"/>
      <c r="G248" s="127"/>
      <c r="H248" s="119"/>
      <c r="I248" s="135"/>
      <c r="J248" s="135"/>
    </row>
    <row r="249">
      <c r="A249" s="127"/>
      <c r="B249" s="127"/>
      <c r="C249" s="127"/>
      <c r="D249" s="127"/>
      <c r="E249" s="131"/>
      <c r="F249" s="127"/>
      <c r="G249" s="127"/>
      <c r="H249" s="119"/>
      <c r="I249" s="135"/>
      <c r="J249" s="135"/>
    </row>
    <row r="250">
      <c r="A250" s="127"/>
      <c r="B250" s="127"/>
      <c r="C250" s="127"/>
      <c r="D250" s="127"/>
      <c r="E250" s="131"/>
      <c r="F250" s="127"/>
      <c r="G250" s="127"/>
      <c r="H250" s="119"/>
      <c r="I250" s="135"/>
      <c r="J250" s="135"/>
    </row>
    <row r="251">
      <c r="A251" s="127"/>
      <c r="B251" s="127"/>
      <c r="C251" s="127"/>
      <c r="D251" s="127"/>
      <c r="E251" s="131"/>
      <c r="F251" s="127"/>
      <c r="G251" s="127"/>
      <c r="H251" s="119"/>
      <c r="I251" s="135"/>
      <c r="J251" s="135"/>
    </row>
    <row r="252">
      <c r="A252" s="127"/>
      <c r="B252" s="127"/>
      <c r="C252" s="127"/>
      <c r="D252" s="127"/>
      <c r="E252" s="131"/>
      <c r="F252" s="127"/>
      <c r="G252" s="127"/>
      <c r="H252" s="119"/>
      <c r="I252" s="135"/>
      <c r="J252" s="135"/>
    </row>
    <row r="253">
      <c r="A253" s="127"/>
      <c r="B253" s="127"/>
      <c r="C253" s="127"/>
      <c r="D253" s="127"/>
      <c r="E253" s="131"/>
      <c r="F253" s="127"/>
      <c r="G253" s="127"/>
      <c r="H253" s="119"/>
      <c r="I253" s="135"/>
      <c r="J253" s="135"/>
    </row>
    <row r="254">
      <c r="A254" s="127"/>
      <c r="B254" s="127"/>
      <c r="C254" s="127"/>
      <c r="D254" s="127"/>
      <c r="E254" s="131"/>
      <c r="F254" s="127"/>
      <c r="G254" s="127"/>
      <c r="H254" s="119"/>
      <c r="I254" s="135"/>
      <c r="J254" s="135"/>
    </row>
    <row r="255">
      <c r="A255" s="127"/>
      <c r="B255" s="127"/>
      <c r="C255" s="127"/>
      <c r="D255" s="127"/>
      <c r="E255" s="131"/>
      <c r="F255" s="127"/>
      <c r="G255" s="127"/>
      <c r="H255" s="119"/>
      <c r="I255" s="135"/>
      <c r="J255" s="135"/>
    </row>
    <row r="256">
      <c r="A256" s="127"/>
      <c r="B256" s="127"/>
      <c r="C256" s="127"/>
      <c r="D256" s="127"/>
      <c r="E256" s="131"/>
      <c r="F256" s="127"/>
      <c r="G256" s="127"/>
      <c r="H256" s="119"/>
      <c r="I256" s="135"/>
      <c r="J256" s="135"/>
    </row>
    <row r="257">
      <c r="A257" s="127"/>
      <c r="B257" s="127"/>
      <c r="C257" s="127"/>
      <c r="D257" s="127"/>
      <c r="E257" s="131"/>
      <c r="F257" s="127"/>
      <c r="G257" s="127"/>
      <c r="H257" s="119"/>
      <c r="I257" s="135"/>
      <c r="J257" s="135"/>
    </row>
    <row r="258">
      <c r="A258" s="127"/>
      <c r="B258" s="127"/>
      <c r="C258" s="127"/>
      <c r="D258" s="127"/>
      <c r="E258" s="131"/>
      <c r="F258" s="127"/>
      <c r="G258" s="127"/>
      <c r="H258" s="119"/>
      <c r="I258" s="135"/>
      <c r="J258" s="135"/>
    </row>
    <row r="259">
      <c r="A259" s="127"/>
      <c r="B259" s="127"/>
      <c r="C259" s="127"/>
      <c r="D259" s="127"/>
      <c r="E259" s="131"/>
      <c r="F259" s="127"/>
      <c r="G259" s="127"/>
      <c r="H259" s="119"/>
      <c r="I259" s="135"/>
      <c r="J259" s="135"/>
    </row>
    <row r="260">
      <c r="A260" s="127"/>
      <c r="B260" s="127"/>
      <c r="C260" s="127"/>
      <c r="D260" s="127"/>
      <c r="E260" s="131"/>
      <c r="F260" s="127"/>
      <c r="G260" s="127"/>
      <c r="H260" s="119"/>
      <c r="I260" s="135"/>
      <c r="J260" s="135"/>
    </row>
    <row r="261">
      <c r="A261" s="127"/>
      <c r="B261" s="127"/>
      <c r="C261" s="127"/>
      <c r="D261" s="127"/>
      <c r="E261" s="131"/>
      <c r="F261" s="127"/>
      <c r="G261" s="127"/>
      <c r="H261" s="119"/>
      <c r="I261" s="135"/>
      <c r="J261" s="135"/>
    </row>
    <row r="262">
      <c r="A262" s="127"/>
      <c r="B262" s="127"/>
      <c r="C262" s="127"/>
      <c r="D262" s="127"/>
      <c r="E262" s="131"/>
      <c r="F262" s="127"/>
      <c r="G262" s="127"/>
      <c r="H262" s="119"/>
      <c r="I262" s="135"/>
      <c r="J262" s="135"/>
    </row>
    <row r="263">
      <c r="A263" s="127"/>
      <c r="B263" s="127"/>
      <c r="C263" s="127"/>
      <c r="D263" s="127"/>
      <c r="E263" s="131"/>
      <c r="F263" s="127"/>
      <c r="G263" s="127"/>
      <c r="H263" s="119"/>
      <c r="I263" s="135"/>
      <c r="J263" s="135"/>
    </row>
    <row r="264">
      <c r="A264" s="127"/>
      <c r="B264" s="127"/>
      <c r="C264" s="127"/>
      <c r="D264" s="127"/>
      <c r="E264" s="131"/>
      <c r="F264" s="127"/>
      <c r="G264" s="127"/>
      <c r="H264" s="119"/>
      <c r="I264" s="135"/>
      <c r="J264" s="135"/>
    </row>
    <row r="265">
      <c r="A265" s="127"/>
      <c r="B265" s="127"/>
      <c r="C265" s="127"/>
      <c r="D265" s="127"/>
      <c r="E265" s="131"/>
      <c r="F265" s="127"/>
      <c r="G265" s="127"/>
      <c r="H265" s="119"/>
      <c r="I265" s="135"/>
      <c r="J265" s="135"/>
    </row>
    <row r="266">
      <c r="A266" s="127"/>
      <c r="B266" s="127"/>
      <c r="C266" s="127"/>
      <c r="D266" s="127"/>
      <c r="E266" s="131"/>
      <c r="F266" s="127"/>
      <c r="G266" s="127"/>
      <c r="H266" s="119"/>
      <c r="I266" s="135"/>
      <c r="J266" s="135"/>
    </row>
    <row r="267">
      <c r="A267" s="127"/>
      <c r="B267" s="127"/>
      <c r="C267" s="127"/>
      <c r="D267" s="127"/>
      <c r="E267" s="131"/>
      <c r="F267" s="127"/>
      <c r="G267" s="127"/>
      <c r="H267" s="119"/>
      <c r="I267" s="135"/>
      <c r="J267" s="135"/>
    </row>
    <row r="268">
      <c r="A268" s="127"/>
      <c r="B268" s="127"/>
      <c r="C268" s="127"/>
      <c r="D268" s="127"/>
      <c r="E268" s="131"/>
      <c r="F268" s="127"/>
      <c r="G268" s="127"/>
      <c r="H268" s="119"/>
      <c r="I268" s="135"/>
      <c r="J268" s="135"/>
    </row>
    <row r="269">
      <c r="A269" s="127"/>
      <c r="B269" s="127"/>
      <c r="C269" s="127"/>
      <c r="D269" s="127"/>
      <c r="E269" s="131"/>
      <c r="F269" s="127"/>
      <c r="G269" s="127"/>
      <c r="H269" s="119"/>
      <c r="I269" s="135"/>
      <c r="J269" s="135"/>
    </row>
    <row r="270">
      <c r="A270" s="127"/>
      <c r="B270" s="127"/>
      <c r="C270" s="127"/>
      <c r="D270" s="127"/>
      <c r="E270" s="131"/>
      <c r="F270" s="127"/>
      <c r="G270" s="127"/>
      <c r="H270" s="119"/>
      <c r="I270" s="135"/>
      <c r="J270" s="135"/>
    </row>
    <row r="271">
      <c r="A271" s="127"/>
      <c r="B271" s="127"/>
      <c r="C271" s="127"/>
      <c r="D271" s="127"/>
      <c r="E271" s="131"/>
      <c r="F271" s="127"/>
      <c r="G271" s="127"/>
      <c r="H271" s="119"/>
      <c r="I271" s="135"/>
      <c r="J271" s="135"/>
    </row>
    <row r="272">
      <c r="A272" s="127"/>
      <c r="B272" s="127"/>
      <c r="C272" s="127"/>
      <c r="D272" s="127"/>
      <c r="E272" s="131"/>
      <c r="F272" s="127"/>
      <c r="G272" s="127"/>
      <c r="H272" s="119"/>
      <c r="I272" s="135"/>
      <c r="J272" s="135"/>
    </row>
    <row r="273">
      <c r="A273" s="127"/>
      <c r="B273" s="127"/>
      <c r="C273" s="127"/>
      <c r="D273" s="127"/>
      <c r="E273" s="131"/>
      <c r="F273" s="127"/>
      <c r="G273" s="127"/>
      <c r="H273" s="119"/>
      <c r="I273" s="135"/>
      <c r="J273" s="135"/>
    </row>
    <row r="274">
      <c r="A274" s="127"/>
      <c r="B274" s="127"/>
      <c r="C274" s="127"/>
      <c r="D274" s="127"/>
      <c r="E274" s="131"/>
      <c r="F274" s="127"/>
      <c r="G274" s="127"/>
      <c r="H274" s="119"/>
      <c r="I274" s="135"/>
      <c r="J274" s="135"/>
    </row>
    <row r="275">
      <c r="A275" s="127"/>
      <c r="B275" s="127"/>
      <c r="C275" s="127"/>
      <c r="D275" s="127"/>
      <c r="E275" s="131"/>
      <c r="F275" s="127"/>
      <c r="G275" s="127"/>
      <c r="H275" s="119"/>
      <c r="I275" s="135"/>
      <c r="J275" s="135"/>
    </row>
    <row r="276">
      <c r="A276" s="127"/>
      <c r="B276" s="127"/>
      <c r="C276" s="127"/>
      <c r="D276" s="127"/>
      <c r="E276" s="131"/>
      <c r="F276" s="127"/>
      <c r="G276" s="127"/>
      <c r="H276" s="119"/>
      <c r="I276" s="135"/>
      <c r="J276" s="135"/>
    </row>
    <row r="277">
      <c r="A277" s="127"/>
      <c r="B277" s="127"/>
      <c r="C277" s="127"/>
      <c r="D277" s="127"/>
      <c r="E277" s="131"/>
      <c r="F277" s="127"/>
      <c r="G277" s="127"/>
      <c r="H277" s="119"/>
      <c r="I277" s="135"/>
      <c r="J277" s="135"/>
    </row>
    <row r="278">
      <c r="A278" s="127"/>
      <c r="B278" s="127"/>
      <c r="C278" s="127"/>
      <c r="D278" s="127"/>
      <c r="E278" s="131"/>
      <c r="F278" s="127"/>
      <c r="G278" s="127"/>
      <c r="H278" s="119"/>
      <c r="I278" s="135"/>
      <c r="J278" s="135"/>
    </row>
    <row r="279">
      <c r="A279" s="127"/>
      <c r="B279" s="127"/>
      <c r="C279" s="127"/>
      <c r="D279" s="127"/>
      <c r="E279" s="131"/>
      <c r="F279" s="127"/>
      <c r="G279" s="127"/>
      <c r="H279" s="119"/>
      <c r="I279" s="135"/>
      <c r="J279" s="135"/>
    </row>
    <row r="280">
      <c r="A280" s="127"/>
      <c r="B280" s="127"/>
      <c r="C280" s="127"/>
      <c r="D280" s="127"/>
      <c r="E280" s="131"/>
      <c r="F280" s="127"/>
      <c r="G280" s="127"/>
      <c r="H280" s="119"/>
      <c r="I280" s="135"/>
      <c r="J280" s="135"/>
    </row>
    <row r="281">
      <c r="A281" s="127"/>
      <c r="B281" s="127"/>
      <c r="C281" s="127"/>
      <c r="D281" s="127"/>
      <c r="E281" s="131"/>
      <c r="F281" s="127"/>
      <c r="G281" s="127"/>
      <c r="H281" s="119"/>
      <c r="I281" s="135"/>
      <c r="J281" s="135"/>
    </row>
    <row r="282">
      <c r="A282" s="127"/>
      <c r="B282" s="127"/>
      <c r="C282" s="127"/>
      <c r="D282" s="127"/>
      <c r="E282" s="131"/>
      <c r="F282" s="127"/>
      <c r="G282" s="127"/>
      <c r="H282" s="119"/>
      <c r="I282" s="135"/>
      <c r="J282" s="135"/>
    </row>
    <row r="283">
      <c r="A283" s="127"/>
      <c r="B283" s="127"/>
      <c r="C283" s="127"/>
      <c r="D283" s="127"/>
      <c r="E283" s="131"/>
      <c r="F283" s="127"/>
      <c r="G283" s="127"/>
      <c r="H283" s="119"/>
      <c r="I283" s="135"/>
      <c r="J283" s="135"/>
    </row>
    <row r="284">
      <c r="A284" s="127"/>
      <c r="B284" s="127"/>
      <c r="C284" s="127"/>
      <c r="D284" s="127"/>
      <c r="E284" s="131"/>
      <c r="F284" s="127"/>
      <c r="G284" s="127"/>
      <c r="H284" s="119"/>
      <c r="I284" s="135"/>
      <c r="J284" s="135"/>
    </row>
    <row r="285">
      <c r="A285" s="127"/>
      <c r="B285" s="127"/>
      <c r="C285" s="127"/>
      <c r="D285" s="127"/>
      <c r="E285" s="131"/>
      <c r="F285" s="127"/>
      <c r="G285" s="127"/>
      <c r="H285" s="119"/>
      <c r="I285" s="135"/>
      <c r="J285" s="135"/>
    </row>
    <row r="286">
      <c r="A286" s="127"/>
      <c r="B286" s="127"/>
      <c r="C286" s="127"/>
      <c r="D286" s="127"/>
      <c r="E286" s="131"/>
      <c r="F286" s="127"/>
      <c r="G286" s="127"/>
      <c r="H286" s="119"/>
      <c r="I286" s="135"/>
      <c r="J286" s="135"/>
    </row>
    <row r="287">
      <c r="A287" s="127"/>
      <c r="B287" s="127"/>
      <c r="C287" s="127"/>
      <c r="D287" s="127"/>
      <c r="E287" s="131"/>
      <c r="F287" s="127"/>
      <c r="G287" s="127"/>
      <c r="H287" s="119"/>
      <c r="I287" s="135"/>
      <c r="J287" s="135"/>
    </row>
    <row r="288">
      <c r="A288" s="127"/>
      <c r="B288" s="127"/>
      <c r="C288" s="127"/>
      <c r="D288" s="127"/>
      <c r="E288" s="131"/>
      <c r="F288" s="127"/>
      <c r="G288" s="127"/>
      <c r="H288" s="119"/>
      <c r="I288" s="135"/>
      <c r="J288" s="135"/>
    </row>
    <row r="289">
      <c r="A289" s="127"/>
      <c r="B289" s="127"/>
      <c r="C289" s="127"/>
      <c r="D289" s="127"/>
      <c r="E289" s="131"/>
      <c r="F289" s="127"/>
      <c r="G289" s="127"/>
      <c r="H289" s="119"/>
      <c r="I289" s="135"/>
      <c r="J289" s="135"/>
    </row>
    <row r="290">
      <c r="A290" s="127"/>
      <c r="B290" s="127"/>
      <c r="C290" s="127"/>
      <c r="D290" s="127"/>
      <c r="E290" s="131"/>
      <c r="F290" s="127"/>
      <c r="G290" s="127"/>
      <c r="H290" s="119"/>
      <c r="I290" s="135"/>
      <c r="J290" s="135"/>
    </row>
    <row r="291">
      <c r="A291" s="127"/>
      <c r="B291" s="127"/>
      <c r="C291" s="127"/>
      <c r="D291" s="127"/>
      <c r="E291" s="131"/>
      <c r="F291" s="127"/>
      <c r="G291" s="127"/>
      <c r="H291" s="119"/>
      <c r="I291" s="135"/>
      <c r="J291" s="135"/>
    </row>
    <row r="292">
      <c r="A292" s="127"/>
      <c r="B292" s="127"/>
      <c r="C292" s="127"/>
      <c r="D292" s="127"/>
      <c r="E292" s="131"/>
      <c r="F292" s="127"/>
      <c r="G292" s="127"/>
      <c r="H292" s="119"/>
      <c r="I292" s="135"/>
      <c r="J292" s="135"/>
    </row>
    <row r="293">
      <c r="A293" s="127"/>
      <c r="B293" s="127"/>
      <c r="C293" s="127"/>
      <c r="D293" s="127"/>
      <c r="E293" s="131"/>
      <c r="F293" s="127"/>
      <c r="G293" s="127"/>
      <c r="H293" s="119"/>
      <c r="I293" s="135"/>
      <c r="J293" s="135"/>
    </row>
    <row r="294">
      <c r="A294" s="127"/>
      <c r="B294" s="127"/>
      <c r="C294" s="127"/>
      <c r="D294" s="127"/>
      <c r="E294" s="131"/>
      <c r="F294" s="127"/>
      <c r="G294" s="127"/>
      <c r="H294" s="119"/>
      <c r="I294" s="135"/>
      <c r="J294" s="135"/>
    </row>
    <row r="295">
      <c r="A295" s="127"/>
      <c r="B295" s="127"/>
      <c r="C295" s="127"/>
      <c r="D295" s="127"/>
      <c r="E295" s="131"/>
      <c r="F295" s="127"/>
      <c r="G295" s="127"/>
      <c r="H295" s="119"/>
      <c r="I295" s="135"/>
      <c r="J295" s="135"/>
    </row>
    <row r="296">
      <c r="A296" s="127"/>
      <c r="B296" s="127"/>
      <c r="C296" s="127"/>
      <c r="D296" s="127"/>
      <c r="E296" s="131"/>
      <c r="F296" s="127"/>
      <c r="G296" s="127"/>
      <c r="H296" s="119"/>
      <c r="I296" s="135"/>
      <c r="J296" s="135"/>
    </row>
    <row r="297">
      <c r="A297" s="127"/>
      <c r="B297" s="127"/>
      <c r="C297" s="127"/>
      <c r="D297" s="127"/>
      <c r="E297" s="131"/>
      <c r="F297" s="127"/>
      <c r="G297" s="127"/>
      <c r="H297" s="119"/>
      <c r="I297" s="135"/>
      <c r="J297" s="135"/>
    </row>
    <row r="298">
      <c r="A298" s="127"/>
      <c r="B298" s="127"/>
      <c r="C298" s="127"/>
      <c r="D298" s="127"/>
      <c r="E298" s="131"/>
      <c r="F298" s="127"/>
      <c r="G298" s="127"/>
      <c r="H298" s="119"/>
      <c r="I298" s="135"/>
      <c r="J298" s="135"/>
    </row>
    <row r="299">
      <c r="A299" s="127"/>
      <c r="B299" s="127"/>
      <c r="C299" s="127"/>
      <c r="D299" s="127"/>
      <c r="E299" s="131"/>
      <c r="F299" s="127"/>
      <c r="G299" s="127"/>
      <c r="H299" s="119"/>
      <c r="I299" s="135"/>
      <c r="J299" s="135"/>
    </row>
    <row r="300">
      <c r="A300" s="127"/>
      <c r="B300" s="127"/>
      <c r="C300" s="127"/>
      <c r="D300" s="127"/>
      <c r="E300" s="131"/>
      <c r="F300" s="127"/>
      <c r="G300" s="127"/>
      <c r="H300" s="119"/>
      <c r="I300" s="135"/>
      <c r="J300" s="135"/>
    </row>
    <row r="301">
      <c r="A301" s="127"/>
      <c r="B301" s="127"/>
      <c r="C301" s="127"/>
      <c r="D301" s="127"/>
      <c r="E301" s="131"/>
      <c r="F301" s="127"/>
      <c r="G301" s="127"/>
      <c r="H301" s="119"/>
      <c r="I301" s="135"/>
      <c r="J301" s="135"/>
    </row>
    <row r="302">
      <c r="A302" s="127"/>
      <c r="B302" s="127"/>
      <c r="C302" s="127"/>
      <c r="D302" s="127"/>
      <c r="E302" s="131"/>
      <c r="F302" s="127"/>
      <c r="G302" s="127"/>
      <c r="H302" s="119"/>
      <c r="I302" s="135"/>
      <c r="J302" s="135"/>
    </row>
    <row r="303">
      <c r="A303" s="127"/>
      <c r="B303" s="127"/>
      <c r="C303" s="127"/>
      <c r="D303" s="127"/>
      <c r="E303" s="131"/>
      <c r="F303" s="127"/>
      <c r="G303" s="127"/>
      <c r="H303" s="119"/>
      <c r="I303" s="135"/>
      <c r="J303" s="135"/>
    </row>
    <row r="304">
      <c r="A304" s="127"/>
      <c r="B304" s="127"/>
      <c r="C304" s="127"/>
      <c r="D304" s="127"/>
      <c r="E304" s="131"/>
      <c r="F304" s="127"/>
      <c r="G304" s="127"/>
      <c r="H304" s="119"/>
      <c r="I304" s="135"/>
      <c r="J304" s="135"/>
    </row>
    <row r="305">
      <c r="A305" s="127"/>
      <c r="B305" s="127"/>
      <c r="C305" s="127"/>
      <c r="D305" s="127"/>
      <c r="E305" s="131"/>
      <c r="F305" s="127"/>
      <c r="G305" s="127"/>
      <c r="H305" s="119"/>
      <c r="I305" s="135"/>
      <c r="J305" s="135"/>
    </row>
    <row r="306">
      <c r="A306" s="127"/>
      <c r="B306" s="127"/>
      <c r="C306" s="127"/>
      <c r="D306" s="127"/>
      <c r="E306" s="131"/>
      <c r="F306" s="127"/>
      <c r="G306" s="127"/>
      <c r="H306" s="119"/>
      <c r="I306" s="135"/>
      <c r="J306" s="135"/>
    </row>
    <row r="307">
      <c r="A307" s="127"/>
      <c r="B307" s="127"/>
      <c r="C307" s="127"/>
      <c r="D307" s="127"/>
      <c r="E307" s="131"/>
      <c r="F307" s="127"/>
      <c r="G307" s="127"/>
      <c r="H307" s="119"/>
      <c r="I307" s="135"/>
      <c r="J307" s="135"/>
    </row>
    <row r="308">
      <c r="A308" s="127"/>
      <c r="B308" s="127"/>
      <c r="C308" s="127"/>
      <c r="D308" s="127"/>
      <c r="E308" s="131"/>
      <c r="F308" s="127"/>
      <c r="G308" s="127"/>
      <c r="H308" s="119"/>
      <c r="I308" s="135"/>
      <c r="J308" s="135"/>
    </row>
    <row r="309">
      <c r="A309" s="127"/>
      <c r="B309" s="127"/>
      <c r="C309" s="127"/>
      <c r="D309" s="127"/>
      <c r="E309" s="131"/>
      <c r="F309" s="127"/>
      <c r="G309" s="127"/>
      <c r="H309" s="119"/>
      <c r="I309" s="135"/>
      <c r="J309" s="135"/>
    </row>
    <row r="310">
      <c r="A310" s="127"/>
      <c r="B310" s="127"/>
      <c r="C310" s="127"/>
      <c r="D310" s="127"/>
      <c r="E310" s="131"/>
      <c r="F310" s="127"/>
      <c r="G310" s="127"/>
      <c r="H310" s="119"/>
      <c r="I310" s="135"/>
      <c r="J310" s="135"/>
    </row>
    <row r="311">
      <c r="A311" s="127"/>
      <c r="B311" s="127"/>
      <c r="C311" s="127"/>
      <c r="D311" s="127"/>
      <c r="E311" s="131"/>
      <c r="F311" s="127"/>
      <c r="G311" s="127"/>
      <c r="H311" s="119"/>
      <c r="I311" s="135"/>
      <c r="J311" s="135"/>
    </row>
    <row r="312">
      <c r="A312" s="127"/>
      <c r="B312" s="127"/>
      <c r="C312" s="127"/>
      <c r="D312" s="127"/>
      <c r="E312" s="131"/>
      <c r="F312" s="127"/>
      <c r="G312" s="127"/>
      <c r="H312" s="119"/>
      <c r="I312" s="135"/>
      <c r="J312" s="135"/>
    </row>
    <row r="313">
      <c r="A313" s="127"/>
      <c r="B313" s="127"/>
      <c r="C313" s="127"/>
      <c r="D313" s="127"/>
      <c r="E313" s="131"/>
      <c r="F313" s="127"/>
      <c r="G313" s="127"/>
      <c r="H313" s="119"/>
      <c r="I313" s="135"/>
      <c r="J313" s="135"/>
    </row>
  </sheetData>
  <dataValidations>
    <dataValidation type="list" allowBlank="1" sqref="B2:B46">
      <formula1>"Reception Alger,Reception Pineda,Reception Werner"</formula1>
    </dataValidation>
    <dataValidation type="list" allowBlank="1" sqref="H2:I46">
      <formula1>"B,D,M,I,N/A"</formula1>
    </dataValidation>
    <dataValidation type="list" allowBlank="1" sqref="D5:D46">
      <formula1>"Spanish,English,Other"</formula1>
    </dataValidation>
    <dataValidation type="list" allowBlank="1" sqref="E2:G46">
      <formula1>"Age 0-3,Age 3-4,Age 4-5,ELG"</formula1>
    </dataValidation>
    <dataValidation type="list" allowBlank="1" sqref="D2:D4">
      <formula1>"Spanish,English"</formula1>
    </dataValidation>
    <dataValidation type="list" allowBlank="1" sqref="C2:C46">
      <formula1>"Female,Male"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